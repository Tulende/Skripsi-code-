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SKRIPSI II\"/>
    </mc:Choice>
  </mc:AlternateContent>
  <xr:revisionPtr revIDLastSave="0" documentId="13_ncr:1_{80504909-CBF6-4BDD-B86D-DC57D6C83D6F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TFN_REF" sheetId="1" r:id="rId1"/>
    <sheet name="DF1" sheetId="2" r:id="rId2"/>
    <sheet name="DF2" sheetId="3" r:id="rId3"/>
    <sheet name="DF3" sheetId="4" r:id="rId4"/>
    <sheet name="DF4" sheetId="5" r:id="rId5"/>
    <sheet name="DF5" sheetId="6" r:id="rId6"/>
    <sheet name="DF6" sheetId="7" r:id="rId7"/>
    <sheet name="DF7" sheetId="8" r:id="rId8"/>
    <sheet name="DF8" sheetId="9" r:id="rId9"/>
    <sheet name="DF9" sheetId="10" r:id="rId10"/>
    <sheet name="DF10" sheetId="11" r:id="rId11"/>
    <sheet name="REKAP SUMMARY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C6" i="11" l="1"/>
  <c r="B6" i="11"/>
  <c r="E5" i="11"/>
  <c r="D5" i="11"/>
  <c r="D4" i="11"/>
  <c r="E4" i="11" s="1"/>
  <c r="E3" i="11"/>
  <c r="D3" i="11"/>
  <c r="D6" i="11" s="1"/>
  <c r="C6" i="10"/>
  <c r="B6" i="10"/>
  <c r="D5" i="10"/>
  <c r="D4" i="10"/>
  <c r="E5" i="10" s="1"/>
  <c r="E3" i="10"/>
  <c r="D3" i="10"/>
  <c r="C6" i="9"/>
  <c r="B6" i="9"/>
  <c r="D5" i="9"/>
  <c r="D4" i="9"/>
  <c r="D3" i="9"/>
  <c r="E3" i="9" s="1"/>
  <c r="L7" i="8"/>
  <c r="I7" i="8"/>
  <c r="H7" i="8"/>
  <c r="G7" i="8"/>
  <c r="F7" i="8"/>
  <c r="E7" i="8"/>
  <c r="K7" i="8" s="1"/>
  <c r="D7" i="8"/>
  <c r="J7" i="8" s="1"/>
  <c r="M7" i="8" s="1"/>
  <c r="N7" i="8" s="1"/>
  <c r="O7" i="8" s="1"/>
  <c r="P7" i="8" s="1"/>
  <c r="M6" i="8"/>
  <c r="N6" i="8" s="1"/>
  <c r="O6" i="8" s="1"/>
  <c r="P6" i="8" s="1"/>
  <c r="J6" i="8"/>
  <c r="I6" i="8"/>
  <c r="H6" i="8"/>
  <c r="G6" i="8"/>
  <c r="F6" i="8"/>
  <c r="L6" i="8" s="1"/>
  <c r="E6" i="8"/>
  <c r="K6" i="8" s="1"/>
  <c r="D6" i="8"/>
  <c r="K5" i="8"/>
  <c r="I5" i="8"/>
  <c r="H5" i="8"/>
  <c r="G5" i="8"/>
  <c r="J5" i="8" s="1"/>
  <c r="M5" i="8" s="1"/>
  <c r="N5" i="8" s="1"/>
  <c r="O5" i="8" s="1"/>
  <c r="P5" i="8" s="1"/>
  <c r="F5" i="8"/>
  <c r="L5" i="8" s="1"/>
  <c r="E5" i="8"/>
  <c r="D5" i="8"/>
  <c r="L4" i="8"/>
  <c r="K4" i="8"/>
  <c r="I4" i="8"/>
  <c r="H4" i="8"/>
  <c r="G4" i="8"/>
  <c r="F4" i="8"/>
  <c r="E4" i="8"/>
  <c r="D4" i="8"/>
  <c r="C6" i="7"/>
  <c r="B6" i="7"/>
  <c r="D5" i="7"/>
  <c r="E5" i="7" s="1"/>
  <c r="E4" i="7"/>
  <c r="D4" i="7"/>
  <c r="D3" i="7"/>
  <c r="E3" i="7" s="1"/>
  <c r="C5" i="6"/>
  <c r="B5" i="6"/>
  <c r="D4" i="6"/>
  <c r="D3" i="6"/>
  <c r="E4" i="6" s="1"/>
  <c r="L23" i="5"/>
  <c r="I23" i="5"/>
  <c r="H23" i="5"/>
  <c r="G23" i="5"/>
  <c r="F23" i="5"/>
  <c r="E23" i="5"/>
  <c r="K23" i="5" s="1"/>
  <c r="D23" i="5"/>
  <c r="J23" i="5" s="1"/>
  <c r="M23" i="5" s="1"/>
  <c r="N23" i="5" s="1"/>
  <c r="O23" i="5" s="1"/>
  <c r="P23" i="5" s="1"/>
  <c r="M22" i="5"/>
  <c r="N22" i="5" s="1"/>
  <c r="O22" i="5" s="1"/>
  <c r="P22" i="5" s="1"/>
  <c r="J22" i="5"/>
  <c r="I22" i="5"/>
  <c r="H22" i="5"/>
  <c r="G22" i="5"/>
  <c r="F22" i="5"/>
  <c r="L22" i="5" s="1"/>
  <c r="E22" i="5"/>
  <c r="K22" i="5" s="1"/>
  <c r="D22" i="5"/>
  <c r="K21" i="5"/>
  <c r="I21" i="5"/>
  <c r="H21" i="5"/>
  <c r="G21" i="5"/>
  <c r="J21" i="5" s="1"/>
  <c r="M21" i="5" s="1"/>
  <c r="N21" i="5" s="1"/>
  <c r="O21" i="5" s="1"/>
  <c r="P21" i="5" s="1"/>
  <c r="F21" i="5"/>
  <c r="L21" i="5" s="1"/>
  <c r="E21" i="5"/>
  <c r="D21" i="5"/>
  <c r="L20" i="5"/>
  <c r="K20" i="5"/>
  <c r="I20" i="5"/>
  <c r="H20" i="5"/>
  <c r="G20" i="5"/>
  <c r="F20" i="5"/>
  <c r="E20" i="5"/>
  <c r="D20" i="5"/>
  <c r="L19" i="5"/>
  <c r="I19" i="5"/>
  <c r="H19" i="5"/>
  <c r="G19" i="5"/>
  <c r="F19" i="5"/>
  <c r="E19" i="5"/>
  <c r="D19" i="5"/>
  <c r="J19" i="5" s="1"/>
  <c r="J18" i="5"/>
  <c r="I18" i="5"/>
  <c r="H18" i="5"/>
  <c r="G18" i="5"/>
  <c r="F18" i="5"/>
  <c r="E18" i="5"/>
  <c r="K18" i="5" s="1"/>
  <c r="D18" i="5"/>
  <c r="K17" i="5"/>
  <c r="I17" i="5"/>
  <c r="H17" i="5"/>
  <c r="G17" i="5"/>
  <c r="J17" i="5" s="1"/>
  <c r="M17" i="5" s="1"/>
  <c r="N17" i="5" s="1"/>
  <c r="O17" i="5" s="1"/>
  <c r="P17" i="5" s="1"/>
  <c r="F17" i="5"/>
  <c r="L17" i="5" s="1"/>
  <c r="E17" i="5"/>
  <c r="D17" i="5"/>
  <c r="L16" i="5"/>
  <c r="I16" i="5"/>
  <c r="H16" i="5"/>
  <c r="K16" i="5" s="1"/>
  <c r="G16" i="5"/>
  <c r="F16" i="5"/>
  <c r="E16" i="5"/>
  <c r="D16" i="5"/>
  <c r="J16" i="5" s="1"/>
  <c r="L15" i="5"/>
  <c r="I15" i="5"/>
  <c r="H15" i="5"/>
  <c r="G15" i="5"/>
  <c r="F15" i="5"/>
  <c r="E15" i="5"/>
  <c r="K15" i="5" s="1"/>
  <c r="D15" i="5"/>
  <c r="J15" i="5" s="1"/>
  <c r="M15" i="5" s="1"/>
  <c r="N15" i="5" s="1"/>
  <c r="O15" i="5" s="1"/>
  <c r="P15" i="5" s="1"/>
  <c r="M14" i="5"/>
  <c r="N14" i="5" s="1"/>
  <c r="O14" i="5" s="1"/>
  <c r="P14" i="5" s="1"/>
  <c r="J14" i="5"/>
  <c r="I14" i="5"/>
  <c r="H14" i="5"/>
  <c r="G14" i="5"/>
  <c r="F14" i="5"/>
  <c r="L14" i="5" s="1"/>
  <c r="E14" i="5"/>
  <c r="K14" i="5" s="1"/>
  <c r="D14" i="5"/>
  <c r="K13" i="5"/>
  <c r="I13" i="5"/>
  <c r="H13" i="5"/>
  <c r="G13" i="5"/>
  <c r="J13" i="5" s="1"/>
  <c r="M13" i="5" s="1"/>
  <c r="N13" i="5" s="1"/>
  <c r="O13" i="5" s="1"/>
  <c r="P13" i="5" s="1"/>
  <c r="F13" i="5"/>
  <c r="L13" i="5" s="1"/>
  <c r="E13" i="5"/>
  <c r="D13" i="5"/>
  <c r="L12" i="5"/>
  <c r="K12" i="5"/>
  <c r="I12" i="5"/>
  <c r="H12" i="5"/>
  <c r="G12" i="5"/>
  <c r="F12" i="5"/>
  <c r="E12" i="5"/>
  <c r="D12" i="5"/>
  <c r="L11" i="5"/>
  <c r="I11" i="5"/>
  <c r="H11" i="5"/>
  <c r="G11" i="5"/>
  <c r="F11" i="5"/>
  <c r="E11" i="5"/>
  <c r="D11" i="5"/>
  <c r="J11" i="5" s="1"/>
  <c r="J10" i="5"/>
  <c r="I10" i="5"/>
  <c r="H10" i="5"/>
  <c r="G10" i="5"/>
  <c r="F10" i="5"/>
  <c r="E10" i="5"/>
  <c r="K10" i="5" s="1"/>
  <c r="D10" i="5"/>
  <c r="K9" i="5"/>
  <c r="I9" i="5"/>
  <c r="H9" i="5"/>
  <c r="G9" i="5"/>
  <c r="J9" i="5" s="1"/>
  <c r="M9" i="5" s="1"/>
  <c r="N9" i="5" s="1"/>
  <c r="O9" i="5" s="1"/>
  <c r="P9" i="5" s="1"/>
  <c r="F9" i="5"/>
  <c r="L9" i="5" s="1"/>
  <c r="E9" i="5"/>
  <c r="D9" i="5"/>
  <c r="L8" i="5"/>
  <c r="I8" i="5"/>
  <c r="H8" i="5"/>
  <c r="K8" i="5" s="1"/>
  <c r="G8" i="5"/>
  <c r="F8" i="5"/>
  <c r="E8" i="5"/>
  <c r="D8" i="5"/>
  <c r="J8" i="5" s="1"/>
  <c r="L7" i="5"/>
  <c r="I7" i="5"/>
  <c r="H7" i="5"/>
  <c r="G7" i="5"/>
  <c r="F7" i="5"/>
  <c r="E7" i="5"/>
  <c r="K7" i="5" s="1"/>
  <c r="D7" i="5"/>
  <c r="J7" i="5" s="1"/>
  <c r="M7" i="5" s="1"/>
  <c r="N7" i="5" s="1"/>
  <c r="O7" i="5" s="1"/>
  <c r="P7" i="5" s="1"/>
  <c r="M6" i="5"/>
  <c r="N6" i="5" s="1"/>
  <c r="O6" i="5" s="1"/>
  <c r="P6" i="5" s="1"/>
  <c r="J6" i="5"/>
  <c r="I6" i="5"/>
  <c r="H6" i="5"/>
  <c r="G6" i="5"/>
  <c r="F6" i="5"/>
  <c r="L6" i="5" s="1"/>
  <c r="E6" i="5"/>
  <c r="K6" i="5" s="1"/>
  <c r="D6" i="5"/>
  <c r="K5" i="5"/>
  <c r="I5" i="5"/>
  <c r="H5" i="5"/>
  <c r="G5" i="5"/>
  <c r="J5" i="5" s="1"/>
  <c r="M5" i="5" s="1"/>
  <c r="N5" i="5" s="1"/>
  <c r="O5" i="5" s="1"/>
  <c r="P5" i="5" s="1"/>
  <c r="F5" i="5"/>
  <c r="L5" i="5" s="1"/>
  <c r="E5" i="5"/>
  <c r="D5" i="5"/>
  <c r="L4" i="5"/>
  <c r="K4" i="5"/>
  <c r="I4" i="5"/>
  <c r="H4" i="5"/>
  <c r="G4" i="5"/>
  <c r="F4" i="5"/>
  <c r="E4" i="5"/>
  <c r="D4" i="5"/>
  <c r="K22" i="4"/>
  <c r="J22" i="4"/>
  <c r="I22" i="4"/>
  <c r="H22" i="4"/>
  <c r="G22" i="4"/>
  <c r="F22" i="4"/>
  <c r="K21" i="4"/>
  <c r="J21" i="4"/>
  <c r="I21" i="4"/>
  <c r="M21" i="4" s="1"/>
  <c r="N21" i="4" s="1"/>
  <c r="O21" i="4" s="1"/>
  <c r="H21" i="4"/>
  <c r="G21" i="4"/>
  <c r="F21" i="4"/>
  <c r="L21" i="4" s="1"/>
  <c r="K20" i="4"/>
  <c r="J20" i="4"/>
  <c r="I20" i="4"/>
  <c r="M20" i="4" s="1"/>
  <c r="H20" i="4"/>
  <c r="G20" i="4"/>
  <c r="F20" i="4"/>
  <c r="K19" i="4"/>
  <c r="J19" i="4"/>
  <c r="I19" i="4"/>
  <c r="H19" i="4"/>
  <c r="G19" i="4"/>
  <c r="F19" i="4"/>
  <c r="L19" i="4" s="1"/>
  <c r="K18" i="4"/>
  <c r="J18" i="4"/>
  <c r="I18" i="4"/>
  <c r="H18" i="4"/>
  <c r="L18" i="4" s="1"/>
  <c r="G18" i="4"/>
  <c r="F18" i="4"/>
  <c r="K17" i="4"/>
  <c r="J17" i="4"/>
  <c r="I17" i="4"/>
  <c r="M17" i="4" s="1"/>
  <c r="H17" i="4"/>
  <c r="G17" i="4"/>
  <c r="F17" i="4"/>
  <c r="L17" i="4" s="1"/>
  <c r="K16" i="4"/>
  <c r="J16" i="4"/>
  <c r="I16" i="4"/>
  <c r="M16" i="4" s="1"/>
  <c r="H16" i="4"/>
  <c r="L16" i="4" s="1"/>
  <c r="N16" i="4" s="1"/>
  <c r="O16" i="4" s="1"/>
  <c r="G16" i="4"/>
  <c r="F16" i="4"/>
  <c r="K15" i="4"/>
  <c r="J15" i="4"/>
  <c r="I15" i="4"/>
  <c r="H15" i="4"/>
  <c r="G15" i="4"/>
  <c r="F15" i="4"/>
  <c r="L15" i="4" s="1"/>
  <c r="K14" i="4"/>
  <c r="J14" i="4"/>
  <c r="I14" i="4"/>
  <c r="M14" i="4" s="1"/>
  <c r="H14" i="4"/>
  <c r="L14" i="4" s="1"/>
  <c r="N14" i="4" s="1"/>
  <c r="O14" i="4" s="1"/>
  <c r="G14" i="4"/>
  <c r="F14" i="4"/>
  <c r="K13" i="4"/>
  <c r="J13" i="4"/>
  <c r="I13" i="4"/>
  <c r="M13" i="4" s="1"/>
  <c r="H13" i="4"/>
  <c r="G13" i="4"/>
  <c r="F13" i="4"/>
  <c r="L13" i="4" s="1"/>
  <c r="K12" i="4"/>
  <c r="J12" i="4"/>
  <c r="I12" i="4"/>
  <c r="M12" i="4" s="1"/>
  <c r="H12" i="4"/>
  <c r="L12" i="4" s="1"/>
  <c r="N12" i="4" s="1"/>
  <c r="O12" i="4" s="1"/>
  <c r="G12" i="4"/>
  <c r="F12" i="4"/>
  <c r="K11" i="4"/>
  <c r="J11" i="4"/>
  <c r="I11" i="4"/>
  <c r="M11" i="4" s="1"/>
  <c r="H11" i="4"/>
  <c r="G11" i="4"/>
  <c r="F11" i="4"/>
  <c r="K10" i="4"/>
  <c r="J10" i="4"/>
  <c r="I10" i="4"/>
  <c r="H10" i="4"/>
  <c r="L10" i="4" s="1"/>
  <c r="G10" i="4"/>
  <c r="K9" i="4"/>
  <c r="J9" i="4"/>
  <c r="I9" i="4"/>
  <c r="M9" i="4" s="1"/>
  <c r="N9" i="4" s="1"/>
  <c r="O9" i="4" s="1"/>
  <c r="H9" i="4"/>
  <c r="G9" i="4"/>
  <c r="F9" i="4"/>
  <c r="L9" i="4" s="1"/>
  <c r="K8" i="4"/>
  <c r="J8" i="4"/>
  <c r="I8" i="4"/>
  <c r="M8" i="4" s="1"/>
  <c r="H8" i="4"/>
  <c r="L8" i="4" s="1"/>
  <c r="N8" i="4" s="1"/>
  <c r="O8" i="4" s="1"/>
  <c r="G8" i="4"/>
  <c r="F8" i="4"/>
  <c r="K7" i="4"/>
  <c r="J7" i="4"/>
  <c r="I7" i="4"/>
  <c r="H7" i="4"/>
  <c r="G7" i="4"/>
  <c r="F7" i="4"/>
  <c r="L7" i="4" s="1"/>
  <c r="K6" i="4"/>
  <c r="J6" i="4"/>
  <c r="I6" i="4"/>
  <c r="M6" i="4" s="1"/>
  <c r="H6" i="4"/>
  <c r="L6" i="4" s="1"/>
  <c r="N6" i="4" s="1"/>
  <c r="O6" i="4" s="1"/>
  <c r="G6" i="4"/>
  <c r="F6" i="4"/>
  <c r="K5" i="4"/>
  <c r="J5" i="4"/>
  <c r="I5" i="4"/>
  <c r="M5" i="4" s="1"/>
  <c r="N5" i="4" s="1"/>
  <c r="O5" i="4" s="1"/>
  <c r="H5" i="4"/>
  <c r="G5" i="4"/>
  <c r="F5" i="4"/>
  <c r="L5" i="4" s="1"/>
  <c r="K4" i="4"/>
  <c r="J4" i="4"/>
  <c r="I4" i="4"/>
  <c r="M4" i="4" s="1"/>
  <c r="H4" i="4"/>
  <c r="L4" i="4" s="1"/>
  <c r="N4" i="4" s="1"/>
  <c r="O4" i="4" s="1"/>
  <c r="G4" i="4"/>
  <c r="F4" i="4"/>
  <c r="K16" i="3"/>
  <c r="J16" i="3"/>
  <c r="I16" i="3"/>
  <c r="H16" i="3"/>
  <c r="G16" i="3"/>
  <c r="F16" i="3"/>
  <c r="L16" i="3" s="1"/>
  <c r="E16" i="3"/>
  <c r="D16" i="3"/>
  <c r="L15" i="3"/>
  <c r="I15" i="3"/>
  <c r="H15" i="3"/>
  <c r="K15" i="3" s="1"/>
  <c r="G15" i="3"/>
  <c r="F15" i="3"/>
  <c r="E15" i="3"/>
  <c r="D15" i="3"/>
  <c r="I14" i="3"/>
  <c r="L14" i="3" s="1"/>
  <c r="H14" i="3"/>
  <c r="G14" i="3"/>
  <c r="F14" i="3"/>
  <c r="E14" i="3"/>
  <c r="D14" i="3"/>
  <c r="J14" i="3" s="1"/>
  <c r="J13" i="3"/>
  <c r="I13" i="3"/>
  <c r="H13" i="3"/>
  <c r="G13" i="3"/>
  <c r="F13" i="3"/>
  <c r="E13" i="3"/>
  <c r="K13" i="3" s="1"/>
  <c r="D13" i="3"/>
  <c r="I12" i="3"/>
  <c r="H12" i="3"/>
  <c r="G12" i="3"/>
  <c r="J12" i="3" s="1"/>
  <c r="F12" i="3"/>
  <c r="E12" i="3"/>
  <c r="K12" i="3" s="1"/>
  <c r="D12" i="3"/>
  <c r="L11" i="3"/>
  <c r="I11" i="3"/>
  <c r="H11" i="3"/>
  <c r="K11" i="3" s="1"/>
  <c r="G11" i="3"/>
  <c r="F11" i="3"/>
  <c r="E11" i="3"/>
  <c r="D11" i="3"/>
  <c r="J11" i="3" s="1"/>
  <c r="M11" i="3" s="1"/>
  <c r="N11" i="3" s="1"/>
  <c r="O11" i="3" s="1"/>
  <c r="P11" i="3" s="1"/>
  <c r="L10" i="3"/>
  <c r="I10" i="3"/>
  <c r="H10" i="3"/>
  <c r="K10" i="3" s="1"/>
  <c r="G10" i="3"/>
  <c r="F10" i="3"/>
  <c r="E10" i="3"/>
  <c r="D10" i="3"/>
  <c r="J9" i="3"/>
  <c r="I9" i="3"/>
  <c r="H9" i="3"/>
  <c r="G9" i="3"/>
  <c r="F9" i="3"/>
  <c r="L9" i="3" s="1"/>
  <c r="E9" i="3"/>
  <c r="K9" i="3" s="1"/>
  <c r="D9" i="3"/>
  <c r="J8" i="3"/>
  <c r="I8" i="3"/>
  <c r="H8" i="3"/>
  <c r="G8" i="3"/>
  <c r="F8" i="3"/>
  <c r="E8" i="3"/>
  <c r="K8" i="3" s="1"/>
  <c r="D8" i="3"/>
  <c r="J7" i="3"/>
  <c r="I7" i="3"/>
  <c r="H7" i="3"/>
  <c r="K7" i="3" s="1"/>
  <c r="G7" i="3"/>
  <c r="F7" i="3"/>
  <c r="L7" i="3" s="1"/>
  <c r="E7" i="3"/>
  <c r="D7" i="3"/>
  <c r="I6" i="3"/>
  <c r="L6" i="3" s="1"/>
  <c r="H6" i="3"/>
  <c r="G6" i="3"/>
  <c r="F6" i="3"/>
  <c r="E6" i="3"/>
  <c r="K6" i="3" s="1"/>
  <c r="D6" i="3"/>
  <c r="J6" i="3" s="1"/>
  <c r="M6" i="3" s="1"/>
  <c r="N6" i="3" s="1"/>
  <c r="O6" i="3" s="1"/>
  <c r="P6" i="3" s="1"/>
  <c r="J5" i="3"/>
  <c r="I5" i="3"/>
  <c r="H5" i="3"/>
  <c r="G5" i="3"/>
  <c r="F5" i="3"/>
  <c r="L5" i="3" s="1"/>
  <c r="E5" i="3"/>
  <c r="K5" i="3" s="1"/>
  <c r="D5" i="3"/>
  <c r="K4" i="3"/>
  <c r="J4" i="3"/>
  <c r="I4" i="3"/>
  <c r="H4" i="3"/>
  <c r="G4" i="3"/>
  <c r="F4" i="3"/>
  <c r="L4" i="3" s="1"/>
  <c r="E4" i="3"/>
  <c r="D4" i="3"/>
  <c r="I7" i="2"/>
  <c r="H7" i="2"/>
  <c r="K7" i="2" s="1"/>
  <c r="G7" i="2"/>
  <c r="F7" i="2"/>
  <c r="E7" i="2"/>
  <c r="D7" i="2"/>
  <c r="L6" i="2"/>
  <c r="I6" i="2"/>
  <c r="H6" i="2"/>
  <c r="G6" i="2"/>
  <c r="F6" i="2"/>
  <c r="E6" i="2"/>
  <c r="K6" i="2" s="1"/>
  <c r="D6" i="2"/>
  <c r="J6" i="2" s="1"/>
  <c r="J5" i="2"/>
  <c r="I5" i="2"/>
  <c r="H5" i="2"/>
  <c r="G5" i="2"/>
  <c r="F5" i="2"/>
  <c r="L5" i="2" s="1"/>
  <c r="E5" i="2"/>
  <c r="K5" i="2" s="1"/>
  <c r="M5" i="2" s="1"/>
  <c r="N5" i="2" s="1"/>
  <c r="O5" i="2" s="1"/>
  <c r="P5" i="2" s="1"/>
  <c r="D5" i="2"/>
  <c r="K4" i="2"/>
  <c r="J4" i="2"/>
  <c r="I4" i="2"/>
  <c r="H4" i="2"/>
  <c r="G4" i="2"/>
  <c r="F4" i="2"/>
  <c r="L4" i="2" s="1"/>
  <c r="E4" i="2"/>
  <c r="D4" i="2"/>
  <c r="L20" i="4" l="1"/>
  <c r="N20" i="4" s="1"/>
  <c r="O20" i="4" s="1"/>
  <c r="M18" i="4"/>
  <c r="N18" i="4" s="1"/>
  <c r="O18" i="4" s="1"/>
  <c r="N17" i="4"/>
  <c r="O17" i="4" s="1"/>
  <c r="M15" i="4"/>
  <c r="N15" i="4"/>
  <c r="O15" i="4" s="1"/>
  <c r="N13" i="4"/>
  <c r="O13" i="4" s="1"/>
  <c r="L11" i="4"/>
  <c r="N11" i="4" s="1"/>
  <c r="O11" i="4" s="1"/>
  <c r="M22" i="4"/>
  <c r="L22" i="4"/>
  <c r="M7" i="4"/>
  <c r="N7" i="4" s="1"/>
  <c r="O7" i="4" s="1"/>
  <c r="M19" i="4"/>
  <c r="N19" i="4" s="1"/>
  <c r="O19" i="4" s="1"/>
  <c r="M10" i="4"/>
  <c r="N10" i="4" s="1"/>
  <c r="O10" i="4" s="1"/>
  <c r="L7" i="2"/>
  <c r="J7" i="2"/>
  <c r="M6" i="2"/>
  <c r="N6" i="2" s="1"/>
  <c r="O6" i="2" s="1"/>
  <c r="P6" i="2" s="1"/>
  <c r="M5" i="3"/>
  <c r="N5" i="3" s="1"/>
  <c r="O5" i="3" s="1"/>
  <c r="P5" i="3" s="1"/>
  <c r="M9" i="3"/>
  <c r="N9" i="3" s="1"/>
  <c r="O9" i="3" s="1"/>
  <c r="P9" i="3" s="1"/>
  <c r="M4" i="2"/>
  <c r="N4" i="2" s="1"/>
  <c r="O4" i="2" s="1"/>
  <c r="P4" i="2" s="1"/>
  <c r="M4" i="3"/>
  <c r="N4" i="3" s="1"/>
  <c r="O4" i="3" s="1"/>
  <c r="P4" i="3" s="1"/>
  <c r="D6" i="7"/>
  <c r="M7" i="3"/>
  <c r="N7" i="3" s="1"/>
  <c r="O7" i="3" s="1"/>
  <c r="P7" i="3" s="1"/>
  <c r="L8" i="3"/>
  <c r="M8" i="3" s="1"/>
  <c r="N8" i="3" s="1"/>
  <c r="O8" i="3" s="1"/>
  <c r="P8" i="3" s="1"/>
  <c r="J10" i="3"/>
  <c r="M10" i="3" s="1"/>
  <c r="N10" i="3" s="1"/>
  <c r="O10" i="3" s="1"/>
  <c r="P10" i="3" s="1"/>
  <c r="L13" i="3"/>
  <c r="M13" i="3" s="1"/>
  <c r="N13" i="3" s="1"/>
  <c r="O13" i="3" s="1"/>
  <c r="P13" i="3" s="1"/>
  <c r="K14" i="3"/>
  <c r="M14" i="3" s="1"/>
  <c r="N14" i="3" s="1"/>
  <c r="O14" i="3" s="1"/>
  <c r="P14" i="3" s="1"/>
  <c r="J15" i="3"/>
  <c r="M15" i="3" s="1"/>
  <c r="N15" i="3" s="1"/>
  <c r="O15" i="3" s="1"/>
  <c r="P15" i="3" s="1"/>
  <c r="M16" i="3"/>
  <c r="N16" i="3" s="1"/>
  <c r="O16" i="3" s="1"/>
  <c r="P16" i="3" s="1"/>
  <c r="J4" i="5"/>
  <c r="M4" i="5" s="1"/>
  <c r="N4" i="5" s="1"/>
  <c r="O4" i="5" s="1"/>
  <c r="P4" i="5" s="1"/>
  <c r="L10" i="5"/>
  <c r="M10" i="5" s="1"/>
  <c r="N10" i="5" s="1"/>
  <c r="O10" i="5" s="1"/>
  <c r="P10" i="5" s="1"/>
  <c r="K11" i="5"/>
  <c r="M11" i="5" s="1"/>
  <c r="N11" i="5" s="1"/>
  <c r="O11" i="5" s="1"/>
  <c r="P11" i="5" s="1"/>
  <c r="J12" i="5"/>
  <c r="M12" i="5" s="1"/>
  <c r="N12" i="5" s="1"/>
  <c r="O12" i="5" s="1"/>
  <c r="P12" i="5" s="1"/>
  <c r="L18" i="5"/>
  <c r="M18" i="5" s="1"/>
  <c r="N18" i="5" s="1"/>
  <c r="O18" i="5" s="1"/>
  <c r="P18" i="5" s="1"/>
  <c r="K19" i="5"/>
  <c r="M19" i="5" s="1"/>
  <c r="N19" i="5" s="1"/>
  <c r="O19" i="5" s="1"/>
  <c r="P19" i="5" s="1"/>
  <c r="J20" i="5"/>
  <c r="M20" i="5" s="1"/>
  <c r="N20" i="5" s="1"/>
  <c r="O20" i="5" s="1"/>
  <c r="P20" i="5" s="1"/>
  <c r="J4" i="8"/>
  <c r="M4" i="8" s="1"/>
  <c r="N4" i="8" s="1"/>
  <c r="O4" i="8" s="1"/>
  <c r="P4" i="8" s="1"/>
  <c r="E4" i="9"/>
  <c r="D6" i="9"/>
  <c r="E4" i="10"/>
  <c r="L12" i="3"/>
  <c r="M12" i="3" s="1"/>
  <c r="N12" i="3" s="1"/>
  <c r="O12" i="3" s="1"/>
  <c r="P12" i="3" s="1"/>
  <c r="E5" i="9"/>
  <c r="D6" i="10"/>
  <c r="M8" i="5"/>
  <c r="N8" i="5" s="1"/>
  <c r="O8" i="5" s="1"/>
  <c r="P8" i="5" s="1"/>
  <c r="M16" i="5"/>
  <c r="N16" i="5" s="1"/>
  <c r="O16" i="5" s="1"/>
  <c r="P16" i="5" s="1"/>
  <c r="D5" i="6"/>
  <c r="E3" i="6"/>
  <c r="N22" i="4" l="1"/>
  <c r="O22" i="4" s="1"/>
  <c r="M7" i="2"/>
  <c r="N7" i="2" s="1"/>
  <c r="O7" i="2" s="1"/>
  <c r="P7" i="2" s="1"/>
</calcChain>
</file>

<file path=xl/sharedStrings.xml><?xml version="1.0" encoding="utf-8"?>
<sst xmlns="http://schemas.openxmlformats.org/spreadsheetml/2006/main" count="292" uniqueCount="197">
  <si>
    <t>TABEL REFERENSI TFN – Digunakan oleh Formula di Sheet DF1–DF7</t>
  </si>
  <si>
    <t>SKALA 1–5  (Enterprise Strategy, Goals, Role of IT, Risk Profile)</t>
  </si>
  <si>
    <t>No</t>
  </si>
  <si>
    <t>Skor</t>
  </si>
  <si>
    <t>a</t>
  </si>
  <si>
    <t>b</t>
  </si>
  <si>
    <t>c</t>
  </si>
  <si>
    <t>Label Singkat</t>
  </si>
  <si>
    <t>Label Lengkap</t>
  </si>
  <si>
    <t>Sangat Rendah</t>
  </si>
  <si>
    <t>Sangat Rendah (SR)</t>
  </si>
  <si>
    <t>Rendah</t>
  </si>
  <si>
    <t>Rendah (R)</t>
  </si>
  <si>
    <t>Sedang</t>
  </si>
  <si>
    <t>Sedang (S)</t>
  </si>
  <si>
    <t>Tinggi</t>
  </si>
  <si>
    <t>Tinggi (T)</t>
  </si>
  <si>
    <t>Sangat Tinggi</t>
  </si>
  <si>
    <t>Sangat Tinggi (ST)</t>
  </si>
  <si>
    <t>SKALA 1–3  (IT-Related Issues)</t>
  </si>
  <si>
    <t>No Issue</t>
  </si>
  <si>
    <t>Tidak Ada Masalah</t>
  </si>
  <si>
    <t>Issue</t>
  </si>
  <si>
    <t>Ada Masalah</t>
  </si>
  <si>
    <t>Serious Issue</t>
  </si>
  <si>
    <t>Masalah Serius</t>
  </si>
  <si>
    <t>Design Factor 1 — Enterprise Strategy (Strategi Perusahaan)</t>
  </si>
  <si>
    <t>Skala 1–5: 1=Sangat Rendah  2=Rendah  3=Sedang  4=Tinggi  5=Sangat Tinggi</t>
  </si>
  <si>
    <t>Item</t>
  </si>
  <si>
    <t>R1</t>
  </si>
  <si>
    <t>R2</t>
  </si>
  <si>
    <t>a₁</t>
  </si>
  <si>
    <t>b₁</t>
  </si>
  <si>
    <t>c₁</t>
  </si>
  <si>
    <t>a₂</t>
  </si>
  <si>
    <t>b₂</t>
  </si>
  <si>
    <t>c₂</t>
  </si>
  <si>
    <t>aₐᵥ
(a₁+a₂)÷2</t>
  </si>
  <si>
    <t>bₐᵥ
(b₁+b₂)÷2</t>
  </si>
  <si>
    <t>cₐᵥ
(c₁+c₂)÷2</t>
  </si>
  <si>
    <t>Centroid
(a+b+c)÷3</t>
  </si>
  <si>
    <t>Nilai Akhir
1+(C×4 atau 2)</t>
  </si>
  <si>
    <t>Dibulatkan</t>
  </si>
  <si>
    <t>Label</t>
  </si>
  <si>
    <t>Growth / Acquisition (Pertumbuhan)</t>
  </si>
  <si>
    <t>Innovation / Differentiation (Inovasi)</t>
  </si>
  <si>
    <t>Cost Leadership (Efisiensi Biaya)</t>
  </si>
  <si>
    <t>Client Service / Stability (Layanan Pelanggan)</t>
  </si>
  <si>
    <t>Design Factor 2 — Enterprise Goals (Tujuan Perusahaan)</t>
  </si>
  <si>
    <t>EG01 – Portfolio produk &amp; layanan kompetitif</t>
  </si>
  <si>
    <t>EG02 – Manajemen risiko bisnis</t>
  </si>
  <si>
    <t>EG03 – Kepatuhan hukum &amp; regulasi eksternal</t>
  </si>
  <si>
    <t>EG04 – Kualitas informasi keuangan</t>
  </si>
  <si>
    <t>EG05 – Budaya layanan pelanggan</t>
  </si>
  <si>
    <t>EG06 – Keberlangsungan &amp; ketersediaan layanan</t>
  </si>
  <si>
    <t>EG07 – Kualitas informasi manajemen</t>
  </si>
  <si>
    <t>EG08 – Optimalisasi proses bisnis internal</t>
  </si>
  <si>
    <t>EG09 – Optimalisasi biaya proses bisnis</t>
  </si>
  <si>
    <t>EG10 – Keterampilan &amp; motivasi staf</t>
  </si>
  <si>
    <t>EG11 – Kepatuhan terhadap kebijakan internal</t>
  </si>
  <si>
    <t>EG12 – Program transformasi digital</t>
  </si>
  <si>
    <t>EG13 – Inovasi produk &amp; bisnis</t>
  </si>
  <si>
    <t>Design Factor 3 — Risk Profile (Profil Risiko)</t>
  </si>
  <si>
    <t>Impact &amp; Likelihood: 1=Sangat Rendah  2=Rendah  3=Sedang  4=Tinggi  5=Sangat Tinggi</t>
  </si>
  <si>
    <t>Skenario Risiko</t>
  </si>
  <si>
    <t>I-R1</t>
  </si>
  <si>
    <t>I-R2</t>
  </si>
  <si>
    <t>L-R1</t>
  </si>
  <si>
    <t>L-R2</t>
  </si>
  <si>
    <t>aav
Impact</t>
  </si>
  <si>
    <t>bav
Impact</t>
  </si>
  <si>
    <t>cav
Impact</t>
  </si>
  <si>
    <t>aav
Likelihood</t>
  </si>
  <si>
    <t>bav
Likelihood</t>
  </si>
  <si>
    <t>cav
Likelihood</t>
  </si>
  <si>
    <t>Impact
(Bulat)</t>
  </si>
  <si>
    <t>Likelihood
(Bulat)</t>
  </si>
  <si>
    <t>Risk
Rating</t>
  </si>
  <si>
    <t>Tingkat
Risiko</t>
  </si>
  <si>
    <t>IT Investment Decision Making</t>
  </si>
  <si>
    <t>Program &amp; Project Life Cycle Management</t>
  </si>
  <si>
    <t>IT Cost &amp; Oversight</t>
  </si>
  <si>
    <t>IT Expertise, Skills &amp; Behavior</t>
  </si>
  <si>
    <t>Enterprise / IT Architecture</t>
  </si>
  <si>
    <t>IT Operational Infrastructure Incidents</t>
  </si>
  <si>
    <t>Unauthorized Actions</t>
  </si>
  <si>
    <t>Software Adoption / Usage Problems</t>
  </si>
  <si>
    <t>Hardware Incidents</t>
  </si>
  <si>
    <t>Software Failures</t>
  </si>
  <si>
    <t>Logical Attacks (Hacking, Malware)</t>
  </si>
  <si>
    <t>Third-Party / Supplier Incidents</t>
  </si>
  <si>
    <t>Noncompliance</t>
  </si>
  <si>
    <t>Geopolitical Issues</t>
  </si>
  <si>
    <t>Industrial Action</t>
  </si>
  <si>
    <t>Acts of Nature</t>
  </si>
  <si>
    <t>Technology-Based Innovation</t>
  </si>
  <si>
    <t>Environmental</t>
  </si>
  <si>
    <t>Data &amp; Information Management</t>
  </si>
  <si>
    <t>Design Factor 4 — IT-Related Issues (Isu-Isu Terkait TI)</t>
  </si>
  <si>
    <t>Skala 1–3: 1=No Issue  2=Issue  3=Serious Issue  |  Rumus Nilai: 1 + (Centroid × 2)</t>
  </si>
  <si>
    <t>Nilai Akhir
1+(C×2)</t>
  </si>
  <si>
    <t>Frustration antara entitas TI dalam organisasi</t>
  </si>
  <si>
    <t>Frustration antara dept. bisnis dan dept. TI</t>
  </si>
  <si>
    <t>Insiden TI serius (kehilangan data, keamanan)</t>
  </si>
  <si>
    <t>Masalah pengiriman layanan oleh outsourcer TI</t>
  </si>
  <si>
    <t>Kegagalan memenuhi persyaratan regulasi TI</t>
  </si>
  <si>
    <t>Temuan audit tentang kinerja TI yang buruk</t>
  </si>
  <si>
    <t>Pengeluaran TI tidak resmi / tersembunyi</t>
  </si>
  <si>
    <t>Duplikasi dan tumpang tindih inisiatif TI</t>
  </si>
  <si>
    <t>SDM TI tidak mencukupi / kurang keahlian</t>
  </si>
  <si>
    <t>Perubahan TI gagal memenuhi kebutuhan bisnis</t>
  </si>
  <si>
    <t>Eksekutif enggan terlibat dalam keputusan TI</t>
  </si>
  <si>
    <t>Model operasi TI terlalu rumit</t>
  </si>
  <si>
    <t>Biaya TI dinilai terlalu tinggi</t>
  </si>
  <si>
    <t>Arsitektur TI menghambat inisiatif baru</t>
  </si>
  <si>
    <t>Kesenjangan pengetahuan bisnis dan teknis</t>
  </si>
  <si>
    <t>Masalah kualitas dan integrasi data</t>
  </si>
  <si>
    <t>End-user computing tinggi tanpa pengawasan</t>
  </si>
  <si>
    <t>Dept. bisnis bangun solusi TI sendiri</t>
  </si>
  <si>
    <t>Pengabaian regulasi privasi</t>
  </si>
  <si>
    <t>Ketidakmampuan memanfaatkan teknologi baru</t>
  </si>
  <si>
    <t>Design Factor 5 — Threat Landscape (Lanskap Ancaman)</t>
  </si>
  <si>
    <t>Kategori</t>
  </si>
  <si>
    <t>R1 (%)</t>
  </si>
  <si>
    <t>R2 (%)</t>
  </si>
  <si>
    <t>Rata-rata (%)</t>
  </si>
  <si>
    <t>High – Ancaman Tinggi</t>
  </si>
  <si>
    <t>Normal – Ancaman Biasa</t>
  </si>
  <si>
    <t>TOTAL</t>
  </si>
  <si>
    <t>✓ = 100%</t>
  </si>
  <si>
    <t>Design Factor 6 — Compliance Requirements (Persyaratan Kepatuhan)</t>
  </si>
  <si>
    <t>High – Kepatuhan Sangat Ketat</t>
  </si>
  <si>
    <t>Normal – Kepatuhan Biasa</t>
  </si>
  <si>
    <t>Low – Kepatuhan Rendah</t>
  </si>
  <si>
    <t>Design Factor 7 — Role of IT (Peran TI bagi Perusahaan)</t>
  </si>
  <si>
    <t>Support – TI sebagai pendukung biasa</t>
  </si>
  <si>
    <t>Factory – Operasional sangat bergantung TI</t>
  </si>
  <si>
    <t>Turnaround – TI sedang bertransformasi digital</t>
  </si>
  <si>
    <t>Strategic – TI sebagai penggerak utama bisnis</t>
  </si>
  <si>
    <t>Design Factor 8 — IT Sourcing Model (Model Pengadaan TI)</t>
  </si>
  <si>
    <t>Outsourcing – Pihak Ketiga Eksternal</t>
  </si>
  <si>
    <t>Cloud – Layanan Berbasis Awan</t>
  </si>
  <si>
    <t>Insourced – Dikelola Tim Internal</t>
  </si>
  <si>
    <t>Design Factor 9 — IT Implementation Methods (Metode Implementasi TI)</t>
  </si>
  <si>
    <t>Agile – Iteratif &amp; Fleksibel</t>
  </si>
  <si>
    <t>DevOps – Integrasi Dev &amp; Operasional</t>
  </si>
  <si>
    <t>Traditional / Waterfall – Konvensional</t>
  </si>
  <si>
    <t>Design Factor 10 — Technology Adoption Strategy (Strategi Adopsi Teknologi)</t>
  </si>
  <si>
    <t>First Mover – Pelopor Teknologi Terbaru</t>
  </si>
  <si>
    <t>Follower – Mengikuti Setelah Terbukti</t>
  </si>
  <si>
    <t>Slow Adopter – Sangat Lambat Mengadopsi</t>
  </si>
  <si>
    <t>Rekapitulasi Hasil Seluruh Design Factors – COBIT 2019 Fuzzy Logic UNKLAB</t>
  </si>
  <si>
    <t>DF</t>
  </si>
  <si>
    <t>Deskripsi</t>
  </si>
  <si>
    <t>Item / Kategori Dominan</t>
  </si>
  <si>
    <t>Nilai / Hasil</t>
  </si>
  <si>
    <t>Kategori / Label</t>
  </si>
  <si>
    <t>DF1</t>
  </si>
  <si>
    <t>Enterprise Strategy</t>
  </si>
  <si>
    <t>Growth/Acquisition</t>
  </si>
  <si>
    <t>5</t>
  </si>
  <si>
    <t>DF2</t>
  </si>
  <si>
    <t>Enterprise Goals</t>
  </si>
  <si>
    <t>Sebagian besar EG (5&amp;5)</t>
  </si>
  <si>
    <t>4–5</t>
  </si>
  <si>
    <t>Tinggi–Sangat Tinggi</t>
  </si>
  <si>
    <t>DF3</t>
  </si>
  <si>
    <t>Risk Profile</t>
  </si>
  <si>
    <t>Software Failures, Logical Attacks</t>
  </si>
  <si>
    <t>20</t>
  </si>
  <si>
    <t>DF4</t>
  </si>
  <si>
    <t>IT-Related Issues</t>
  </si>
  <si>
    <t>SDM TI tidak mencukupi</t>
  </si>
  <si>
    <t>2–3</t>
  </si>
  <si>
    <t>Issue–Serious Issue</t>
  </si>
  <si>
    <t>DF5</t>
  </si>
  <si>
    <t>Threat Landscape</t>
  </si>
  <si>
    <t>85,00%</t>
  </si>
  <si>
    <t>Dominan</t>
  </si>
  <si>
    <t>DF6</t>
  </si>
  <si>
    <t>Compliance Requirements</t>
  </si>
  <si>
    <t>100,00%</t>
  </si>
  <si>
    <t>DF7</t>
  </si>
  <si>
    <t>Role of IT</t>
  </si>
  <si>
    <t>Strategic</t>
  </si>
  <si>
    <t>DF8</t>
  </si>
  <si>
    <t>IT Sourcing Model</t>
  </si>
  <si>
    <t>Insourced – Tim Internal</t>
  </si>
  <si>
    <t>67,50%</t>
  </si>
  <si>
    <t>DF9</t>
  </si>
  <si>
    <t>IT Implementation Methods</t>
  </si>
  <si>
    <t>DevOps &amp; Traditional (seimbang)</t>
  </si>
  <si>
    <t>50,00%</t>
  </si>
  <si>
    <t>Seimbang</t>
  </si>
  <si>
    <t>DF10</t>
  </si>
  <si>
    <t>Technology Adoption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</si>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</sst>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color theme="0" tint="-0.1499984740745262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CF5DC"/>
        <bgColor rgb="FFDCF5DC"/>
      </patternFill>
    </fill>
    <fill>
      <patternFill patternType="solid">
        <fgColor rgb="FFFFE0B2"/>
        <bgColor rgb="FFFFE0B2"/>
      </patternFill>
    </fill>
    <fill>
      <patternFill patternType="solid">
        <fgColor rgb="FFFFF9C4"/>
        <bgColor rgb="FFFFF9C4"/>
      </patternFill>
    </fill>
    <fill>
      <patternFill patternType="solid">
        <fgColor rgb="FFF0F4C3"/>
        <bgColor rgb="FFF0F4C3"/>
      </patternFill>
    </fill>
    <fill>
      <patternFill patternType="solid">
        <fgColor rgb="FFFFCCCC"/>
        <bgColor rgb="FFFFCCCC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" fontId="4" fillId="6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" fontId="4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1" fontId="4" fillId="8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" fontId="4" fillId="9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1" fontId="4" fillId="11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I4" sqref="I4"/>
    </sheetView>
  </sheetViews>
  <sheetFormatPr defaultRowHeight="15" x14ac:dyDescent="0.25"/>
  <cols>
    <col min="1" max="1" width="5" customWidth="1"/>
    <col min="2" max="2" width="7" customWidth="1"/>
    <col min="3" max="5" width="8" customWidth="1"/>
    <col min="6" max="7" width="20" customWidth="1"/>
  </cols>
  <sheetData>
    <row r="1" spans="1:7" ht="24" customHeight="1" x14ac:dyDescent="0.25">
      <c r="A1" s="26" t="s">
        <v>0</v>
      </c>
      <c r="B1" s="27"/>
      <c r="C1" s="27"/>
      <c r="D1" s="27"/>
      <c r="E1" s="27"/>
      <c r="F1" s="27"/>
      <c r="G1" s="27"/>
    </row>
    <row r="2" spans="1:7" ht="18" customHeight="1" x14ac:dyDescent="0.25">
      <c r="A2" s="28" t="s">
        <v>1</v>
      </c>
      <c r="B2" s="27"/>
      <c r="C2" s="27"/>
      <c r="D2" s="27"/>
      <c r="E2" s="27"/>
      <c r="F2" s="27"/>
      <c r="G2" s="27"/>
    </row>
    <row r="3" spans="1:7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>
        <v>1</v>
      </c>
      <c r="B4" s="3">
        <v>1</v>
      </c>
      <c r="C4" s="4">
        <v>0</v>
      </c>
      <c r="D4" s="4">
        <v>0</v>
      </c>
      <c r="E4" s="4">
        <v>0.25</v>
      </c>
      <c r="F4" s="2" t="s">
        <v>9</v>
      </c>
      <c r="G4" s="2" t="s">
        <v>10</v>
      </c>
    </row>
    <row r="5" spans="1:7" ht="18" customHeight="1" x14ac:dyDescent="0.25">
      <c r="A5" s="5">
        <v>2</v>
      </c>
      <c r="B5" s="6">
        <v>2</v>
      </c>
      <c r="C5" s="7">
        <v>0</v>
      </c>
      <c r="D5" s="7">
        <v>0.25</v>
      </c>
      <c r="E5" s="7">
        <v>0.5</v>
      </c>
      <c r="F5" s="5" t="s">
        <v>11</v>
      </c>
      <c r="G5" s="5" t="s">
        <v>12</v>
      </c>
    </row>
    <row r="6" spans="1:7" ht="18" customHeight="1" x14ac:dyDescent="0.25">
      <c r="A6" s="2">
        <v>3</v>
      </c>
      <c r="B6" s="3">
        <v>3</v>
      </c>
      <c r="C6" s="4">
        <v>0.25</v>
      </c>
      <c r="D6" s="4">
        <v>0.5</v>
      </c>
      <c r="E6" s="4">
        <v>0.75</v>
      </c>
      <c r="F6" s="2" t="s">
        <v>13</v>
      </c>
      <c r="G6" s="2" t="s">
        <v>14</v>
      </c>
    </row>
    <row r="7" spans="1:7" ht="18" customHeight="1" x14ac:dyDescent="0.25">
      <c r="A7" s="5">
        <v>4</v>
      </c>
      <c r="B7" s="6">
        <v>4</v>
      </c>
      <c r="C7" s="7">
        <v>0.5</v>
      </c>
      <c r="D7" s="7">
        <v>0.75</v>
      </c>
      <c r="E7" s="7">
        <v>1</v>
      </c>
      <c r="F7" s="5" t="s">
        <v>15</v>
      </c>
      <c r="G7" s="5" t="s">
        <v>16</v>
      </c>
    </row>
    <row r="8" spans="1:7" ht="18" customHeight="1" x14ac:dyDescent="0.25">
      <c r="A8" s="2">
        <v>5</v>
      </c>
      <c r="B8" s="3">
        <v>5</v>
      </c>
      <c r="C8" s="4">
        <v>0.75</v>
      </c>
      <c r="D8" s="4">
        <v>1</v>
      </c>
      <c r="E8" s="4">
        <v>1</v>
      </c>
      <c r="F8" s="2" t="s">
        <v>17</v>
      </c>
      <c r="G8" s="2" t="s">
        <v>18</v>
      </c>
    </row>
    <row r="10" spans="1:7" ht="18" customHeight="1" x14ac:dyDescent="0.25">
      <c r="A10" s="28" t="s">
        <v>19</v>
      </c>
      <c r="B10" s="27"/>
      <c r="C10" s="27"/>
      <c r="D10" s="27"/>
      <c r="E10" s="27"/>
      <c r="F10" s="27"/>
      <c r="G10" s="27"/>
    </row>
    <row r="11" spans="1:7" ht="30" customHeight="1" x14ac:dyDescent="0.2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ht="18" customHeight="1" x14ac:dyDescent="0.25">
      <c r="A12" s="2">
        <v>1</v>
      </c>
      <c r="B12" s="3">
        <v>1</v>
      </c>
      <c r="C12" s="4">
        <v>0</v>
      </c>
      <c r="D12" s="4">
        <v>0</v>
      </c>
      <c r="E12" s="4">
        <v>0.5</v>
      </c>
      <c r="F12" s="2" t="s">
        <v>20</v>
      </c>
      <c r="G12" s="2" t="s">
        <v>21</v>
      </c>
    </row>
    <row r="13" spans="1:7" ht="18" customHeight="1" x14ac:dyDescent="0.25">
      <c r="A13" s="5">
        <v>2</v>
      </c>
      <c r="B13" s="6">
        <v>2</v>
      </c>
      <c r="C13" s="7">
        <v>0</v>
      </c>
      <c r="D13" s="7">
        <v>0.5</v>
      </c>
      <c r="E13" s="7">
        <v>1</v>
      </c>
      <c r="F13" s="5" t="s">
        <v>22</v>
      </c>
      <c r="G13" s="5" t="s">
        <v>23</v>
      </c>
    </row>
    <row r="14" spans="1:7" ht="18" customHeight="1" x14ac:dyDescent="0.25">
      <c r="A14" s="2">
        <v>3</v>
      </c>
      <c r="B14" s="3">
        <v>3</v>
      </c>
      <c r="C14" s="4">
        <v>0.5</v>
      </c>
      <c r="D14" s="4">
        <v>1</v>
      </c>
      <c r="E14" s="4">
        <v>1</v>
      </c>
      <c r="F14" s="2" t="s">
        <v>24</v>
      </c>
      <c r="G14" s="2" t="s">
        <v>25</v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topLeftCell="H1" workbookViewId="0">
      <selection activeCell="P22" sqref="P22"/>
    </sheetView>
  </sheetViews>
  <sheetFormatPr defaultRowHeight="15" x14ac:dyDescent="0.25"/>
  <cols>
    <col min="1" max="1" width="36" customWidth="1"/>
    <col min="2" max="3" width="5" customWidth="1"/>
    <col min="4" max="9" width="6" customWidth="1"/>
    <col min="10" max="13" width="9" customWidth="1"/>
    <col min="14" max="15" width="10" customWidth="1"/>
    <col min="16" max="16" width="18" customWidth="1"/>
  </cols>
  <sheetData>
    <row r="1" spans="1:16" ht="21.95" customHeight="1" x14ac:dyDescent="0.25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8" customHeight="1" x14ac:dyDescent="0.25">
      <c r="A2" s="28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30" customHeight="1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</row>
    <row r="4" spans="1:16" ht="18" customHeight="1" x14ac:dyDescent="0.25">
      <c r="A4" s="8" t="s">
        <v>44</v>
      </c>
      <c r="B4" s="3">
        <v>5</v>
      </c>
      <c r="C4" s="3">
        <v>5</v>
      </c>
      <c r="D4" s="4">
        <f>ROUND(INDEX(TFN_REF!$C$4:$C$8,MATCH(B4,TFN_REF!$B$4:$B$8,0)),2)</f>
        <v>0.75</v>
      </c>
      <c r="E4" s="4">
        <f>ROUND(INDEX(TFN_REF!$D$4:$D$8,MATCH(B4,TFN_REF!$B$4:$B$8,0)),2)</f>
        <v>1</v>
      </c>
      <c r="F4" s="4">
        <f>ROUND(INDEX(TFN_REF!$E$4:$E$8,MATCH(B4,TFN_REF!$B$4:$B$8,0)),2)</f>
        <v>1</v>
      </c>
      <c r="G4" s="4">
        <f>ROUND(INDEX(TFN_REF!$C$4:$C$8,MATCH(C4,TFN_REF!$B$4:$B$8,0)),2)</f>
        <v>0.75</v>
      </c>
      <c r="H4" s="4">
        <f>ROUND(INDEX(TFN_REF!$D$4:$D$8,MATCH(C4,TFN_REF!$B$4:$B$8,0)),2)</f>
        <v>1</v>
      </c>
      <c r="I4" s="4">
        <f>ROUND(INDEX(TFN_REF!$E$4:$E$8,MATCH(C4,TFN_REF!$B$4:$B$8,0)),2)</f>
        <v>1</v>
      </c>
      <c r="J4" s="4">
        <f t="shared" ref="J4:L7" si="0">ROUND((D4+G4)/2,2)</f>
        <v>0.75</v>
      </c>
      <c r="K4" s="4">
        <f t="shared" si="0"/>
        <v>1</v>
      </c>
      <c r="L4" s="4">
        <f t="shared" si="0"/>
        <v>1</v>
      </c>
      <c r="M4" s="4">
        <f>ROUND((J4+K4+L4)/3,2)</f>
        <v>0.92</v>
      </c>
      <c r="N4" s="4">
        <f>ROUND(1+(M4*4),2)</f>
        <v>4.68</v>
      </c>
      <c r="O4" s="9">
        <f>ROUND(N4,0)</f>
        <v>5</v>
      </c>
      <c r="P4" s="8" t="str">
        <f>INDEX(TFN_REF!$F$4:$F$8,MATCH(O4,TFN_REF!$B$4:$B$8,0))</f>
        <v>Sangat Tinggi</v>
      </c>
    </row>
    <row r="5" spans="1:16" ht="18" customHeight="1" x14ac:dyDescent="0.25">
      <c r="A5" s="10" t="s">
        <v>45</v>
      </c>
      <c r="B5" s="6">
        <v>4</v>
      </c>
      <c r="C5" s="6">
        <v>1</v>
      </c>
      <c r="D5" s="7">
        <f>ROUND(INDEX(TFN_REF!$C$4:$C$8,MATCH(B5,TFN_REF!$B$4:$B$8,0)),2)</f>
        <v>0.5</v>
      </c>
      <c r="E5" s="7">
        <f>ROUND(INDEX(TFN_REF!$D$4:$D$8,MATCH(B5,TFN_REF!$B$4:$B$8,0)),2)</f>
        <v>0.75</v>
      </c>
      <c r="F5" s="7">
        <f>ROUND(INDEX(TFN_REF!$E$4:$E$8,MATCH(B5,TFN_REF!$B$4:$B$8,0)),2)</f>
        <v>1</v>
      </c>
      <c r="G5" s="7">
        <f>ROUND(INDEX(TFN_REF!$C$4:$C$8,MATCH(C5,TFN_REF!$B$4:$B$8,0)),2)</f>
        <v>0</v>
      </c>
      <c r="H5" s="7">
        <f>ROUND(INDEX(TFN_REF!$D$4:$D$8,MATCH(C5,TFN_REF!$B$4:$B$8,0)),2)</f>
        <v>0</v>
      </c>
      <c r="I5" s="7">
        <f>ROUND(INDEX(TFN_REF!$E$4:$E$8,MATCH(C5,TFN_REF!$B$4:$B$8,0)),2)</f>
        <v>0.25</v>
      </c>
      <c r="J5" s="7">
        <f t="shared" si="0"/>
        <v>0.25</v>
      </c>
      <c r="K5" s="7">
        <f t="shared" si="0"/>
        <v>0.38</v>
      </c>
      <c r="L5" s="7">
        <f t="shared" si="0"/>
        <v>0.63</v>
      </c>
      <c r="M5" s="7">
        <f>ROUND((J5+K5+L5)/3,2)</f>
        <v>0.42</v>
      </c>
      <c r="N5" s="7">
        <f>ROUND(1+(M5*4),2)</f>
        <v>2.68</v>
      </c>
      <c r="O5" s="9">
        <f>ROUND(N5,0)</f>
        <v>3</v>
      </c>
      <c r="P5" s="10" t="str">
        <f>INDEX(TFN_REF!$F$4:$F$8,MATCH(O5,TFN_REF!$B$4:$B$8,0))</f>
        <v>Sedang</v>
      </c>
    </row>
    <row r="6" spans="1:16" ht="18" customHeight="1" x14ac:dyDescent="0.25">
      <c r="A6" s="8" t="s">
        <v>46</v>
      </c>
      <c r="B6" s="3">
        <v>1</v>
      </c>
      <c r="C6" s="3">
        <v>1</v>
      </c>
      <c r="D6" s="4">
        <f>ROUND(INDEX(TFN_REF!$C$4:$C$8,MATCH(B6,TFN_REF!$B$4:$B$8,0)),2)</f>
        <v>0</v>
      </c>
      <c r="E6" s="4">
        <f>ROUND(INDEX(TFN_REF!$D$4:$D$8,MATCH(B6,TFN_REF!$B$4:$B$8,0)),2)</f>
        <v>0</v>
      </c>
      <c r="F6" s="4">
        <f>ROUND(INDEX(TFN_REF!$E$4:$E$8,MATCH(B6,TFN_REF!$B$4:$B$8,0)),2)</f>
        <v>0.25</v>
      </c>
      <c r="G6" s="4">
        <f>ROUND(INDEX(TFN_REF!$C$4:$C$8,MATCH(C6,TFN_REF!$B$4:$B$8,0)),2)</f>
        <v>0</v>
      </c>
      <c r="H6" s="4">
        <f>ROUND(INDEX(TFN_REF!$D$4:$D$8,MATCH(C6,TFN_REF!$B$4:$B$8,0)),2)</f>
        <v>0</v>
      </c>
      <c r="I6" s="4">
        <f>ROUND(INDEX(TFN_REF!$E$4:$E$8,MATCH(C6,TFN_REF!$B$4:$B$8,0)),2)</f>
        <v>0.25</v>
      </c>
      <c r="J6" s="4">
        <f t="shared" si="0"/>
        <v>0</v>
      </c>
      <c r="K6" s="4">
        <f t="shared" si="0"/>
        <v>0</v>
      </c>
      <c r="L6" s="4">
        <f t="shared" si="0"/>
        <v>0.25</v>
      </c>
      <c r="M6" s="4">
        <f>ROUND((J6+K6+L6)/3,2)</f>
        <v>0.08</v>
      </c>
      <c r="N6" s="4">
        <f>ROUND(1+(M6*4),2)</f>
        <v>1.32</v>
      </c>
      <c r="O6" s="9">
        <f>ROUND(N6,0)</f>
        <v>1</v>
      </c>
      <c r="P6" s="8" t="str">
        <f>INDEX(TFN_REF!$F$4:$F$8,MATCH(O6,TFN_REF!$B$4:$B$8,0))</f>
        <v>Sangat Rendah</v>
      </c>
    </row>
    <row r="7" spans="1:16" ht="18" customHeight="1" x14ac:dyDescent="0.25">
      <c r="A7" s="10" t="s">
        <v>47</v>
      </c>
      <c r="B7" s="6">
        <v>1</v>
      </c>
      <c r="C7" s="6">
        <v>4</v>
      </c>
      <c r="D7" s="7">
        <f>ROUND(INDEX(TFN_REF!$C$4:$C$8,MATCH(B7,TFN_REF!$B$4:$B$8,0)),2)</f>
        <v>0</v>
      </c>
      <c r="E7" s="7">
        <f>ROUND(INDEX(TFN_REF!$D$4:$D$8,MATCH(B7,TFN_REF!$B$4:$B$8,0)),2)</f>
        <v>0</v>
      </c>
      <c r="F7" s="7">
        <f>ROUND(INDEX(TFN_REF!$E$4:$E$8,MATCH(B7,TFN_REF!$B$4:$B$8,0)),2)</f>
        <v>0.25</v>
      </c>
      <c r="G7" s="7">
        <f>ROUND(INDEX(TFN_REF!$C$4:$C$8,MATCH(C7,TFN_REF!$B$4:$B$8,0)),2)</f>
        <v>0.5</v>
      </c>
      <c r="H7" s="7">
        <f>ROUND(INDEX(TFN_REF!$D$4:$D$8,MATCH(C7,TFN_REF!$B$4:$B$8,0)),2)</f>
        <v>0.75</v>
      </c>
      <c r="I7" s="7">
        <f>ROUND(INDEX(TFN_REF!$E$4:$E$8,MATCH(C7,TFN_REF!$B$4:$B$8,0)),2)</f>
        <v>1</v>
      </c>
      <c r="J7" s="7">
        <f t="shared" si="0"/>
        <v>0.25</v>
      </c>
      <c r="K7" s="7">
        <f t="shared" si="0"/>
        <v>0.38</v>
      </c>
      <c r="L7" s="7">
        <f t="shared" si="0"/>
        <v>0.63</v>
      </c>
      <c r="M7" s="7">
        <f>ROUND((J7+K7+L7)/3,2)</f>
        <v>0.42</v>
      </c>
      <c r="N7" s="7">
        <f>ROUND(1+(M7*4),2)</f>
        <v>2.68</v>
      </c>
      <c r="O7" s="9">
        <f>ROUND(N7,0)</f>
        <v>3</v>
      </c>
      <c r="P7" s="10" t="str">
        <f>INDEX(TFN_REF!$F$4:$F$8,MATCH(O7,TFN_REF!$B$4:$B$8,0))</f>
        <v>Sedang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topLeftCell="L4" zoomScale="136" workbookViewId="0">
      <selection sqref="A1:P1"/>
    </sheetView>
  </sheetViews>
  <sheetFormatPr defaultRowHeight="15" x14ac:dyDescent="0.25"/>
  <cols>
    <col min="1" max="1" width="36" customWidth="1"/>
    <col min="2" max="3" width="5" customWidth="1"/>
    <col min="4" max="9" width="6" customWidth="1"/>
    <col min="10" max="13" width="9" customWidth="1"/>
    <col min="14" max="15" width="10" customWidth="1"/>
    <col min="16" max="16" width="18" customWidth="1"/>
  </cols>
  <sheetData>
    <row r="1" spans="1:16" ht="21.95" customHeight="1" x14ac:dyDescent="0.25">
      <c r="A1" s="26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8" customHeight="1" x14ac:dyDescent="0.25">
      <c r="A2" s="28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30" customHeight="1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</row>
    <row r="4" spans="1:16" ht="18" customHeight="1" x14ac:dyDescent="0.25">
      <c r="A4" s="8" t="s">
        <v>49</v>
      </c>
      <c r="B4" s="3">
        <v>5</v>
      </c>
      <c r="C4" s="3">
        <v>4</v>
      </c>
      <c r="D4" s="4">
        <f>ROUND(INDEX(TFN_REF!$C$4:$C$8,MATCH(B4,TFN_REF!$B$4:$B$8,0)),2)</f>
        <v>0.75</v>
      </c>
      <c r="E4" s="4">
        <f>ROUND(INDEX(TFN_REF!$D$4:$D$8,MATCH(B4,TFN_REF!$B$4:$B$8,0)),2)</f>
        <v>1</v>
      </c>
      <c r="F4" s="4">
        <f>ROUND(INDEX(TFN_REF!$E$4:$E$8,MATCH(B4,TFN_REF!$B$4:$B$8,0)),2)</f>
        <v>1</v>
      </c>
      <c r="G4" s="4">
        <f>ROUND(INDEX(TFN_REF!$C$4:$C$8,MATCH(C4,TFN_REF!$B$4:$B$8,0)),2)</f>
        <v>0.5</v>
      </c>
      <c r="H4" s="4">
        <f>ROUND(INDEX(TFN_REF!$D$4:$D$8,MATCH(C4,TFN_REF!$B$4:$B$8,0)),2)</f>
        <v>0.75</v>
      </c>
      <c r="I4" s="4">
        <f>ROUND(INDEX(TFN_REF!$E$4:$E$8,MATCH(C4,TFN_REF!$B$4:$B$8,0)),2)</f>
        <v>1</v>
      </c>
      <c r="J4" s="4">
        <f t="shared" ref="J4:J16" si="0">ROUND((D4+G4)/2,2)</f>
        <v>0.63</v>
      </c>
      <c r="K4" s="4">
        <f t="shared" ref="K4:K16" si="1">ROUND((E4+H4)/2,2)</f>
        <v>0.88</v>
      </c>
      <c r="L4" s="4">
        <f t="shared" ref="L4:L16" si="2">ROUND((F4+I4)/2,2)</f>
        <v>1</v>
      </c>
      <c r="M4" s="4">
        <f t="shared" ref="M4:M16" si="3">ROUND((J4+K4+L4)/3,2)</f>
        <v>0.84</v>
      </c>
      <c r="N4" s="4">
        <f t="shared" ref="N4:N16" si="4">ROUND(1+(M4*4),2)</f>
        <v>4.3600000000000003</v>
      </c>
      <c r="O4" s="9">
        <f t="shared" ref="O4:O16" si="5">ROUND(N4,0)</f>
        <v>4</v>
      </c>
      <c r="P4" s="8" t="str">
        <f>INDEX(TFN_REF!$F$4:$F$8,MATCH(O4,TFN_REF!$B$4:$B$8,0))</f>
        <v>Tinggi</v>
      </c>
    </row>
    <row r="5" spans="1:16" ht="18" customHeight="1" x14ac:dyDescent="0.25">
      <c r="A5" s="10" t="s">
        <v>50</v>
      </c>
      <c r="B5" s="6">
        <v>5</v>
      </c>
      <c r="C5" s="6">
        <v>5</v>
      </c>
      <c r="D5" s="7">
        <f>ROUND(INDEX(TFN_REF!$C$4:$C$8,MATCH(B5,TFN_REF!$B$4:$B$8,0)),2)</f>
        <v>0.75</v>
      </c>
      <c r="E5" s="7">
        <f>ROUND(INDEX(TFN_REF!$D$4:$D$8,MATCH(B5,TFN_REF!$B$4:$B$8,0)),2)</f>
        <v>1</v>
      </c>
      <c r="F5" s="7">
        <f>ROUND(INDEX(TFN_REF!$E$4:$E$8,MATCH(B5,TFN_REF!$B$4:$B$8,0)),2)</f>
        <v>1</v>
      </c>
      <c r="G5" s="7">
        <f>ROUND(INDEX(TFN_REF!$C$4:$C$8,MATCH(C5,TFN_REF!$B$4:$B$8,0)),2)</f>
        <v>0.75</v>
      </c>
      <c r="H5" s="7">
        <f>ROUND(INDEX(TFN_REF!$D$4:$D$8,MATCH(C5,TFN_REF!$B$4:$B$8,0)),2)</f>
        <v>1</v>
      </c>
      <c r="I5" s="7">
        <f>ROUND(INDEX(TFN_REF!$E$4:$E$8,MATCH(C5,TFN_REF!$B$4:$B$8,0)),2)</f>
        <v>1</v>
      </c>
      <c r="J5" s="7">
        <f t="shared" si="0"/>
        <v>0.75</v>
      </c>
      <c r="K5" s="7">
        <f t="shared" si="1"/>
        <v>1</v>
      </c>
      <c r="L5" s="7">
        <f t="shared" si="2"/>
        <v>1</v>
      </c>
      <c r="M5" s="7">
        <f t="shared" si="3"/>
        <v>0.92</v>
      </c>
      <c r="N5" s="7">
        <f t="shared" si="4"/>
        <v>4.68</v>
      </c>
      <c r="O5" s="9">
        <f t="shared" si="5"/>
        <v>5</v>
      </c>
      <c r="P5" s="10" t="str">
        <f>INDEX(TFN_REF!$F$4:$F$8,MATCH(O5,TFN_REF!$B$4:$B$8,0))</f>
        <v>Sangat Tinggi</v>
      </c>
    </row>
    <row r="6" spans="1:16" ht="18" customHeight="1" x14ac:dyDescent="0.25">
      <c r="A6" s="8" t="s">
        <v>51</v>
      </c>
      <c r="B6" s="3">
        <v>5</v>
      </c>
      <c r="C6" s="3">
        <v>5</v>
      </c>
      <c r="D6" s="4">
        <f>ROUND(INDEX(TFN_REF!$C$4:$C$8,MATCH(B6,TFN_REF!$B$4:$B$8,0)),2)</f>
        <v>0.75</v>
      </c>
      <c r="E6" s="4">
        <f>ROUND(INDEX(TFN_REF!$D$4:$D$8,MATCH(B6,TFN_REF!$B$4:$B$8,0)),2)</f>
        <v>1</v>
      </c>
      <c r="F6" s="4">
        <f>ROUND(INDEX(TFN_REF!$E$4:$E$8,MATCH(B6,TFN_REF!$B$4:$B$8,0)),2)</f>
        <v>1</v>
      </c>
      <c r="G6" s="4">
        <f>ROUND(INDEX(TFN_REF!$C$4:$C$8,MATCH(C6,TFN_REF!$B$4:$B$8,0)),2)</f>
        <v>0.75</v>
      </c>
      <c r="H6" s="4">
        <f>ROUND(INDEX(TFN_REF!$D$4:$D$8,MATCH(C6,TFN_REF!$B$4:$B$8,0)),2)</f>
        <v>1</v>
      </c>
      <c r="I6" s="4">
        <f>ROUND(INDEX(TFN_REF!$E$4:$E$8,MATCH(C6,TFN_REF!$B$4:$B$8,0)),2)</f>
        <v>1</v>
      </c>
      <c r="J6" s="4">
        <f t="shared" si="0"/>
        <v>0.75</v>
      </c>
      <c r="K6" s="4">
        <f t="shared" si="1"/>
        <v>1</v>
      </c>
      <c r="L6" s="4">
        <f t="shared" si="2"/>
        <v>1</v>
      </c>
      <c r="M6" s="4">
        <f t="shared" si="3"/>
        <v>0.92</v>
      </c>
      <c r="N6" s="4">
        <f t="shared" si="4"/>
        <v>4.68</v>
      </c>
      <c r="O6" s="9">
        <f t="shared" si="5"/>
        <v>5</v>
      </c>
      <c r="P6" s="8" t="str">
        <f>INDEX(TFN_REF!$F$4:$F$8,MATCH(O6,TFN_REF!$B$4:$B$8,0))</f>
        <v>Sangat Tinggi</v>
      </c>
    </row>
    <row r="7" spans="1:16" ht="18" customHeight="1" x14ac:dyDescent="0.25">
      <c r="A7" s="10" t="s">
        <v>52</v>
      </c>
      <c r="B7" s="6">
        <v>5</v>
      </c>
      <c r="C7" s="6">
        <v>5</v>
      </c>
      <c r="D7" s="7">
        <f>ROUND(INDEX(TFN_REF!$C$4:$C$8,MATCH(B7,TFN_REF!$B$4:$B$8,0)),2)</f>
        <v>0.75</v>
      </c>
      <c r="E7" s="7">
        <f>ROUND(INDEX(TFN_REF!$D$4:$D$8,MATCH(B7,TFN_REF!$B$4:$B$8,0)),2)</f>
        <v>1</v>
      </c>
      <c r="F7" s="7">
        <f>ROUND(INDEX(TFN_REF!$E$4:$E$8,MATCH(B7,TFN_REF!$B$4:$B$8,0)),2)</f>
        <v>1</v>
      </c>
      <c r="G7" s="7">
        <f>ROUND(INDEX(TFN_REF!$C$4:$C$8,MATCH(C7,TFN_REF!$B$4:$B$8,0)),2)</f>
        <v>0.75</v>
      </c>
      <c r="H7" s="7">
        <f>ROUND(INDEX(TFN_REF!$D$4:$D$8,MATCH(C7,TFN_REF!$B$4:$B$8,0)),2)</f>
        <v>1</v>
      </c>
      <c r="I7" s="7">
        <f>ROUND(INDEX(TFN_REF!$E$4:$E$8,MATCH(C7,TFN_REF!$B$4:$B$8,0)),2)</f>
        <v>1</v>
      </c>
      <c r="J7" s="7">
        <f t="shared" si="0"/>
        <v>0.75</v>
      </c>
      <c r="K7" s="7">
        <f t="shared" si="1"/>
        <v>1</v>
      </c>
      <c r="L7" s="7">
        <f t="shared" si="2"/>
        <v>1</v>
      </c>
      <c r="M7" s="7">
        <f t="shared" si="3"/>
        <v>0.92</v>
      </c>
      <c r="N7" s="7">
        <f t="shared" si="4"/>
        <v>4.68</v>
      </c>
      <c r="O7" s="9">
        <f t="shared" si="5"/>
        <v>5</v>
      </c>
      <c r="P7" s="10" t="str">
        <f>INDEX(TFN_REF!$F$4:$F$8,MATCH(O7,TFN_REF!$B$4:$B$8,0))</f>
        <v>Sangat Tinggi</v>
      </c>
    </row>
    <row r="8" spans="1:16" ht="18" customHeight="1" x14ac:dyDescent="0.25">
      <c r="A8" s="8" t="s">
        <v>53</v>
      </c>
      <c r="B8" s="3">
        <v>5</v>
      </c>
      <c r="C8" s="3">
        <v>5</v>
      </c>
      <c r="D8" s="4">
        <f>ROUND(INDEX(TFN_REF!$C$4:$C$8,MATCH(B8,TFN_REF!$B$4:$B$8,0)),2)</f>
        <v>0.75</v>
      </c>
      <c r="E8" s="4">
        <f>ROUND(INDEX(TFN_REF!$D$4:$D$8,MATCH(B8,TFN_REF!$B$4:$B$8,0)),2)</f>
        <v>1</v>
      </c>
      <c r="F8" s="4">
        <f>ROUND(INDEX(TFN_REF!$E$4:$E$8,MATCH(B8,TFN_REF!$B$4:$B$8,0)),2)</f>
        <v>1</v>
      </c>
      <c r="G8" s="4">
        <f>ROUND(INDEX(TFN_REF!$C$4:$C$8,MATCH(C8,TFN_REF!$B$4:$B$8,0)),2)</f>
        <v>0.75</v>
      </c>
      <c r="H8" s="4">
        <f>ROUND(INDEX(TFN_REF!$D$4:$D$8,MATCH(C8,TFN_REF!$B$4:$B$8,0)),2)</f>
        <v>1</v>
      </c>
      <c r="I8" s="4">
        <f>ROUND(INDEX(TFN_REF!$E$4:$E$8,MATCH(C8,TFN_REF!$B$4:$B$8,0)),2)</f>
        <v>1</v>
      </c>
      <c r="J8" s="4">
        <f t="shared" si="0"/>
        <v>0.75</v>
      </c>
      <c r="K8" s="4">
        <f t="shared" si="1"/>
        <v>1</v>
      </c>
      <c r="L8" s="4">
        <f t="shared" si="2"/>
        <v>1</v>
      </c>
      <c r="M8" s="4">
        <f t="shared" si="3"/>
        <v>0.92</v>
      </c>
      <c r="N8" s="4">
        <f t="shared" si="4"/>
        <v>4.68</v>
      </c>
      <c r="O8" s="9">
        <f t="shared" si="5"/>
        <v>5</v>
      </c>
      <c r="P8" s="8" t="str">
        <f>INDEX(TFN_REF!$F$4:$F$8,MATCH(O8,TFN_REF!$B$4:$B$8,0))</f>
        <v>Sangat Tinggi</v>
      </c>
    </row>
    <row r="9" spans="1:16" ht="18" customHeight="1" x14ac:dyDescent="0.25">
      <c r="A9" s="10" t="s">
        <v>54</v>
      </c>
      <c r="B9" s="6">
        <v>5</v>
      </c>
      <c r="C9" s="6">
        <v>5</v>
      </c>
      <c r="D9" s="7">
        <f>ROUND(INDEX(TFN_REF!$C$4:$C$8,MATCH(B9,TFN_REF!$B$4:$B$8,0)),2)</f>
        <v>0.75</v>
      </c>
      <c r="E9" s="7">
        <f>ROUND(INDEX(TFN_REF!$D$4:$D$8,MATCH(B9,TFN_REF!$B$4:$B$8,0)),2)</f>
        <v>1</v>
      </c>
      <c r="F9" s="7">
        <f>ROUND(INDEX(TFN_REF!$E$4:$E$8,MATCH(B9,TFN_REF!$B$4:$B$8,0)),2)</f>
        <v>1</v>
      </c>
      <c r="G9" s="7">
        <f>ROUND(INDEX(TFN_REF!$C$4:$C$8,MATCH(C9,TFN_REF!$B$4:$B$8,0)),2)</f>
        <v>0.75</v>
      </c>
      <c r="H9" s="7">
        <f>ROUND(INDEX(TFN_REF!$D$4:$D$8,MATCH(C9,TFN_REF!$B$4:$B$8,0)),2)</f>
        <v>1</v>
      </c>
      <c r="I9" s="7">
        <f>ROUND(INDEX(TFN_REF!$E$4:$E$8,MATCH(C9,TFN_REF!$B$4:$B$8,0)),2)</f>
        <v>1</v>
      </c>
      <c r="J9" s="7">
        <f t="shared" si="0"/>
        <v>0.75</v>
      </c>
      <c r="K9" s="7">
        <f t="shared" si="1"/>
        <v>1</v>
      </c>
      <c r="L9" s="7">
        <f t="shared" si="2"/>
        <v>1</v>
      </c>
      <c r="M9" s="7">
        <f t="shared" si="3"/>
        <v>0.92</v>
      </c>
      <c r="N9" s="7">
        <f t="shared" si="4"/>
        <v>4.68</v>
      </c>
      <c r="O9" s="9">
        <f t="shared" si="5"/>
        <v>5</v>
      </c>
      <c r="P9" s="10" t="str">
        <f>INDEX(TFN_REF!$F$4:$F$8,MATCH(O9,TFN_REF!$B$4:$B$8,0))</f>
        <v>Sangat Tinggi</v>
      </c>
    </row>
    <row r="10" spans="1:16" ht="18" customHeight="1" x14ac:dyDescent="0.25">
      <c r="A10" s="8" t="s">
        <v>55</v>
      </c>
      <c r="B10" s="3">
        <v>5</v>
      </c>
      <c r="C10" s="3">
        <v>4</v>
      </c>
      <c r="D10" s="4">
        <f>ROUND(INDEX(TFN_REF!$C$4:$C$8,MATCH(B10,TFN_REF!$B$4:$B$8,0)),2)</f>
        <v>0.75</v>
      </c>
      <c r="E10" s="4">
        <f>ROUND(INDEX(TFN_REF!$D$4:$D$8,MATCH(B10,TFN_REF!$B$4:$B$8,0)),2)</f>
        <v>1</v>
      </c>
      <c r="F10" s="4">
        <f>ROUND(INDEX(TFN_REF!$E$4:$E$8,MATCH(B10,TFN_REF!$B$4:$B$8,0)),2)</f>
        <v>1</v>
      </c>
      <c r="G10" s="4">
        <f>ROUND(INDEX(TFN_REF!$C$4:$C$8,MATCH(C10,TFN_REF!$B$4:$B$8,0)),2)</f>
        <v>0.5</v>
      </c>
      <c r="H10" s="4">
        <f>ROUND(INDEX(TFN_REF!$D$4:$D$8,MATCH(C10,TFN_REF!$B$4:$B$8,0)),2)</f>
        <v>0.75</v>
      </c>
      <c r="I10" s="4">
        <f>ROUND(INDEX(TFN_REF!$E$4:$E$8,MATCH(C10,TFN_REF!$B$4:$B$8,0)),2)</f>
        <v>1</v>
      </c>
      <c r="J10" s="4">
        <f t="shared" si="0"/>
        <v>0.63</v>
      </c>
      <c r="K10" s="4">
        <f t="shared" si="1"/>
        <v>0.88</v>
      </c>
      <c r="L10" s="4">
        <f t="shared" si="2"/>
        <v>1</v>
      </c>
      <c r="M10" s="4">
        <f t="shared" si="3"/>
        <v>0.84</v>
      </c>
      <c r="N10" s="4">
        <f t="shared" si="4"/>
        <v>4.3600000000000003</v>
      </c>
      <c r="O10" s="9">
        <f t="shared" si="5"/>
        <v>4</v>
      </c>
      <c r="P10" s="8" t="str">
        <f>INDEX(TFN_REF!$F$4:$F$8,MATCH(O10,TFN_REF!$B$4:$B$8,0))</f>
        <v>Tinggi</v>
      </c>
    </row>
    <row r="11" spans="1:16" ht="18" customHeight="1" x14ac:dyDescent="0.25">
      <c r="A11" s="10" t="s">
        <v>56</v>
      </c>
      <c r="B11" s="6">
        <v>5</v>
      </c>
      <c r="C11" s="6">
        <v>5</v>
      </c>
      <c r="D11" s="7">
        <f>ROUND(INDEX(TFN_REF!$C$4:$C$8,MATCH(B11,TFN_REF!$B$4:$B$8,0)),2)</f>
        <v>0.75</v>
      </c>
      <c r="E11" s="7">
        <f>ROUND(INDEX(TFN_REF!$D$4:$D$8,MATCH(B11,TFN_REF!$B$4:$B$8,0)),2)</f>
        <v>1</v>
      </c>
      <c r="F11" s="7">
        <f>ROUND(INDEX(TFN_REF!$E$4:$E$8,MATCH(B11,TFN_REF!$B$4:$B$8,0)),2)</f>
        <v>1</v>
      </c>
      <c r="G11" s="7">
        <f>ROUND(INDEX(TFN_REF!$C$4:$C$8,MATCH(C11,TFN_REF!$B$4:$B$8,0)),2)</f>
        <v>0.75</v>
      </c>
      <c r="H11" s="7">
        <f>ROUND(INDEX(TFN_REF!$D$4:$D$8,MATCH(C11,TFN_REF!$B$4:$B$8,0)),2)</f>
        <v>1</v>
      </c>
      <c r="I11" s="7">
        <f>ROUND(INDEX(TFN_REF!$E$4:$E$8,MATCH(C11,TFN_REF!$B$4:$B$8,0)),2)</f>
        <v>1</v>
      </c>
      <c r="J11" s="7">
        <f t="shared" si="0"/>
        <v>0.75</v>
      </c>
      <c r="K11" s="7">
        <f t="shared" si="1"/>
        <v>1</v>
      </c>
      <c r="L11" s="7">
        <f t="shared" si="2"/>
        <v>1</v>
      </c>
      <c r="M11" s="7">
        <f t="shared" si="3"/>
        <v>0.92</v>
      </c>
      <c r="N11" s="7">
        <f t="shared" si="4"/>
        <v>4.68</v>
      </c>
      <c r="O11" s="9">
        <f t="shared" si="5"/>
        <v>5</v>
      </c>
      <c r="P11" s="10" t="str">
        <f>INDEX(TFN_REF!$F$4:$F$8,MATCH(O11,TFN_REF!$B$4:$B$8,0))</f>
        <v>Sangat Tinggi</v>
      </c>
    </row>
    <row r="12" spans="1:16" ht="18" customHeight="1" x14ac:dyDescent="0.25">
      <c r="A12" s="8" t="s">
        <v>57</v>
      </c>
      <c r="B12" s="3">
        <v>3</v>
      </c>
      <c r="C12" s="3">
        <v>5</v>
      </c>
      <c r="D12" s="4">
        <f>ROUND(INDEX(TFN_REF!$C$4:$C$8,MATCH(B12,TFN_REF!$B$4:$B$8,0)),2)</f>
        <v>0.25</v>
      </c>
      <c r="E12" s="4">
        <f>ROUND(INDEX(TFN_REF!$D$4:$D$8,MATCH(B12,TFN_REF!$B$4:$B$8,0)),2)</f>
        <v>0.5</v>
      </c>
      <c r="F12" s="4">
        <f>ROUND(INDEX(TFN_REF!$E$4:$E$8,MATCH(B12,TFN_REF!$B$4:$B$8,0)),2)</f>
        <v>0.75</v>
      </c>
      <c r="G12" s="4">
        <f>ROUND(INDEX(TFN_REF!$C$4:$C$8,MATCH(C12,TFN_REF!$B$4:$B$8,0)),2)</f>
        <v>0.75</v>
      </c>
      <c r="H12" s="4">
        <f>ROUND(INDEX(TFN_REF!$D$4:$D$8,MATCH(C12,TFN_REF!$B$4:$B$8,0)),2)</f>
        <v>1</v>
      </c>
      <c r="I12" s="4">
        <f>ROUND(INDEX(TFN_REF!$E$4:$E$8,MATCH(C12,TFN_REF!$B$4:$B$8,0)),2)</f>
        <v>1</v>
      </c>
      <c r="J12" s="4">
        <f t="shared" si="0"/>
        <v>0.5</v>
      </c>
      <c r="K12" s="4">
        <f t="shared" si="1"/>
        <v>0.75</v>
      </c>
      <c r="L12" s="4">
        <f t="shared" si="2"/>
        <v>0.88</v>
      </c>
      <c r="M12" s="4">
        <f t="shared" si="3"/>
        <v>0.71</v>
      </c>
      <c r="N12" s="4">
        <f t="shared" si="4"/>
        <v>3.84</v>
      </c>
      <c r="O12" s="9">
        <f t="shared" si="5"/>
        <v>4</v>
      </c>
      <c r="P12" s="8" t="str">
        <f>INDEX(TFN_REF!$F$4:$F$8,MATCH(O12,TFN_REF!$B$4:$B$8,0))</f>
        <v>Tinggi</v>
      </c>
    </row>
    <row r="13" spans="1:16" ht="18" customHeight="1" x14ac:dyDescent="0.25">
      <c r="A13" s="10" t="s">
        <v>58</v>
      </c>
      <c r="B13" s="6">
        <v>5</v>
      </c>
      <c r="C13" s="6">
        <v>5</v>
      </c>
      <c r="D13" s="7">
        <f>ROUND(INDEX(TFN_REF!$C$4:$C$8,MATCH(B13,TFN_REF!$B$4:$B$8,0)),2)</f>
        <v>0.75</v>
      </c>
      <c r="E13" s="7">
        <f>ROUND(INDEX(TFN_REF!$D$4:$D$8,MATCH(B13,TFN_REF!$B$4:$B$8,0)),2)</f>
        <v>1</v>
      </c>
      <c r="F13" s="7">
        <f>ROUND(INDEX(TFN_REF!$E$4:$E$8,MATCH(B13,TFN_REF!$B$4:$B$8,0)),2)</f>
        <v>1</v>
      </c>
      <c r="G13" s="7">
        <f>ROUND(INDEX(TFN_REF!$C$4:$C$8,MATCH(C13,TFN_REF!$B$4:$B$8,0)),2)</f>
        <v>0.75</v>
      </c>
      <c r="H13" s="7">
        <f>ROUND(INDEX(TFN_REF!$D$4:$D$8,MATCH(C13,TFN_REF!$B$4:$B$8,0)),2)</f>
        <v>1</v>
      </c>
      <c r="I13" s="7">
        <f>ROUND(INDEX(TFN_REF!$E$4:$E$8,MATCH(C13,TFN_REF!$B$4:$B$8,0)),2)</f>
        <v>1</v>
      </c>
      <c r="J13" s="7">
        <f t="shared" si="0"/>
        <v>0.75</v>
      </c>
      <c r="K13" s="7">
        <f t="shared" si="1"/>
        <v>1</v>
      </c>
      <c r="L13" s="7">
        <f t="shared" si="2"/>
        <v>1</v>
      </c>
      <c r="M13" s="7">
        <f t="shared" si="3"/>
        <v>0.92</v>
      </c>
      <c r="N13" s="7">
        <f t="shared" si="4"/>
        <v>4.68</v>
      </c>
      <c r="O13" s="9">
        <f t="shared" si="5"/>
        <v>5</v>
      </c>
      <c r="P13" s="10" t="str">
        <f>INDEX(TFN_REF!$F$4:$F$8,MATCH(O13,TFN_REF!$B$4:$B$8,0))</f>
        <v>Sangat Tinggi</v>
      </c>
    </row>
    <row r="14" spans="1:16" ht="18" customHeight="1" x14ac:dyDescent="0.25">
      <c r="A14" s="8" t="s">
        <v>59</v>
      </c>
      <c r="B14" s="3">
        <v>5</v>
      </c>
      <c r="C14" s="3">
        <v>5</v>
      </c>
      <c r="D14" s="4">
        <f>ROUND(INDEX(TFN_REF!$C$4:$C$8,MATCH(B14,TFN_REF!$B$4:$B$8,0)),2)</f>
        <v>0.75</v>
      </c>
      <c r="E14" s="4">
        <f>ROUND(INDEX(TFN_REF!$D$4:$D$8,MATCH(B14,TFN_REF!$B$4:$B$8,0)),2)</f>
        <v>1</v>
      </c>
      <c r="F14" s="4">
        <f>ROUND(INDEX(TFN_REF!$E$4:$E$8,MATCH(B14,TFN_REF!$B$4:$B$8,0)),2)</f>
        <v>1</v>
      </c>
      <c r="G14" s="4">
        <f>ROUND(INDEX(TFN_REF!$C$4:$C$8,MATCH(C14,TFN_REF!$B$4:$B$8,0)),2)</f>
        <v>0.75</v>
      </c>
      <c r="H14" s="4">
        <f>ROUND(INDEX(TFN_REF!$D$4:$D$8,MATCH(C14,TFN_REF!$B$4:$B$8,0)),2)</f>
        <v>1</v>
      </c>
      <c r="I14" s="4">
        <f>ROUND(INDEX(TFN_REF!$E$4:$E$8,MATCH(C14,TFN_REF!$B$4:$B$8,0)),2)</f>
        <v>1</v>
      </c>
      <c r="J14" s="4">
        <f t="shared" si="0"/>
        <v>0.75</v>
      </c>
      <c r="K14" s="4">
        <f t="shared" si="1"/>
        <v>1</v>
      </c>
      <c r="L14" s="4">
        <f t="shared" si="2"/>
        <v>1</v>
      </c>
      <c r="M14" s="4">
        <f t="shared" si="3"/>
        <v>0.92</v>
      </c>
      <c r="N14" s="4">
        <f t="shared" si="4"/>
        <v>4.68</v>
      </c>
      <c r="O14" s="9">
        <f t="shared" si="5"/>
        <v>5</v>
      </c>
      <c r="P14" s="8" t="str">
        <f>INDEX(TFN_REF!$F$4:$F$8,MATCH(O14,TFN_REF!$B$4:$B$8,0))</f>
        <v>Sangat Tinggi</v>
      </c>
    </row>
    <row r="15" spans="1:16" ht="18" customHeight="1" x14ac:dyDescent="0.25">
      <c r="A15" s="10" t="s">
        <v>60</v>
      </c>
      <c r="B15" s="6">
        <v>5</v>
      </c>
      <c r="C15" s="6">
        <v>5</v>
      </c>
      <c r="D15" s="7">
        <f>ROUND(INDEX(TFN_REF!$C$4:$C$8,MATCH(B15,TFN_REF!$B$4:$B$8,0)),2)</f>
        <v>0.75</v>
      </c>
      <c r="E15" s="7">
        <f>ROUND(INDEX(TFN_REF!$D$4:$D$8,MATCH(B15,TFN_REF!$B$4:$B$8,0)),2)</f>
        <v>1</v>
      </c>
      <c r="F15" s="7">
        <f>ROUND(INDEX(TFN_REF!$E$4:$E$8,MATCH(B15,TFN_REF!$B$4:$B$8,0)),2)</f>
        <v>1</v>
      </c>
      <c r="G15" s="7">
        <f>ROUND(INDEX(TFN_REF!$C$4:$C$8,MATCH(C15,TFN_REF!$B$4:$B$8,0)),2)</f>
        <v>0.75</v>
      </c>
      <c r="H15" s="7">
        <f>ROUND(INDEX(TFN_REF!$D$4:$D$8,MATCH(C15,TFN_REF!$B$4:$B$8,0)),2)</f>
        <v>1</v>
      </c>
      <c r="I15" s="7">
        <f>ROUND(INDEX(TFN_REF!$E$4:$E$8,MATCH(C15,TFN_REF!$B$4:$B$8,0)),2)</f>
        <v>1</v>
      </c>
      <c r="J15" s="7">
        <f t="shared" si="0"/>
        <v>0.75</v>
      </c>
      <c r="K15" s="7">
        <f t="shared" si="1"/>
        <v>1</v>
      </c>
      <c r="L15" s="7">
        <f t="shared" si="2"/>
        <v>1</v>
      </c>
      <c r="M15" s="7">
        <f t="shared" si="3"/>
        <v>0.92</v>
      </c>
      <c r="N15" s="7">
        <f t="shared" si="4"/>
        <v>4.68</v>
      </c>
      <c r="O15" s="9">
        <f t="shared" si="5"/>
        <v>5</v>
      </c>
      <c r="P15" s="10" t="str">
        <f>INDEX(TFN_REF!$F$4:$F$8,MATCH(O15,TFN_REF!$B$4:$B$8,0))</f>
        <v>Sangat Tinggi</v>
      </c>
    </row>
    <row r="16" spans="1:16" ht="18" customHeight="1" x14ac:dyDescent="0.25">
      <c r="A16" s="8" t="s">
        <v>61</v>
      </c>
      <c r="B16" s="3">
        <v>5</v>
      </c>
      <c r="C16" s="3">
        <v>4</v>
      </c>
      <c r="D16" s="4">
        <f>ROUND(INDEX(TFN_REF!$C$4:$C$8,MATCH(B16,TFN_REF!$B$4:$B$8,0)),2)</f>
        <v>0.75</v>
      </c>
      <c r="E16" s="4">
        <f>ROUND(INDEX(TFN_REF!$D$4:$D$8,MATCH(B16,TFN_REF!$B$4:$B$8,0)),2)</f>
        <v>1</v>
      </c>
      <c r="F16" s="4">
        <f>ROUND(INDEX(TFN_REF!$E$4:$E$8,MATCH(B16,TFN_REF!$B$4:$B$8,0)),2)</f>
        <v>1</v>
      </c>
      <c r="G16" s="4">
        <f>ROUND(INDEX(TFN_REF!$C$4:$C$8,MATCH(C16,TFN_REF!$B$4:$B$8,0)),2)</f>
        <v>0.5</v>
      </c>
      <c r="H16" s="4">
        <f>ROUND(INDEX(TFN_REF!$D$4:$D$8,MATCH(C16,TFN_REF!$B$4:$B$8,0)),2)</f>
        <v>0.75</v>
      </c>
      <c r="I16" s="4">
        <f>ROUND(INDEX(TFN_REF!$E$4:$E$8,MATCH(C16,TFN_REF!$B$4:$B$8,0)),2)</f>
        <v>1</v>
      </c>
      <c r="J16" s="4">
        <f t="shared" si="0"/>
        <v>0.63</v>
      </c>
      <c r="K16" s="4">
        <f t="shared" si="1"/>
        <v>0.88</v>
      </c>
      <c r="L16" s="4">
        <f t="shared" si="2"/>
        <v>1</v>
      </c>
      <c r="M16" s="4">
        <f t="shared" si="3"/>
        <v>0.84</v>
      </c>
      <c r="N16" s="4">
        <f t="shared" si="4"/>
        <v>4.3600000000000003</v>
      </c>
      <c r="O16" s="9">
        <f t="shared" si="5"/>
        <v>4</v>
      </c>
      <c r="P16" s="8" t="str">
        <f>INDEX(TFN_REF!$F$4:$F$8,MATCH(O16,TFN_REF!$B$4:$B$8,0))</f>
        <v>Tinggi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topLeftCell="G3" zoomScale="99" workbookViewId="0">
      <selection activeCell="L30" sqref="L30"/>
    </sheetView>
  </sheetViews>
  <sheetFormatPr defaultRowHeight="15" x14ac:dyDescent="0.25"/>
  <cols>
    <col min="1" max="1" width="38" customWidth="1"/>
    <col min="2" max="5" width="6" customWidth="1"/>
    <col min="6" max="11" width="9" customWidth="1"/>
    <col min="12" max="13" width="10" customWidth="1"/>
    <col min="14" max="14" width="9" customWidth="1"/>
    <col min="15" max="15" width="18" customWidth="1"/>
  </cols>
  <sheetData>
    <row r="1" spans="1:15" ht="21.95" customHeight="1" x14ac:dyDescent="0.25">
      <c r="A1" s="26" t="s">
        <v>62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8" customHeight="1" x14ac:dyDescent="0.25">
      <c r="A2" s="28" t="s">
        <v>63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30" customHeight="1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</row>
    <row r="4" spans="1:15" ht="18" customHeight="1" x14ac:dyDescent="0.25">
      <c r="A4" s="8" t="s">
        <v>79</v>
      </c>
      <c r="B4" s="3">
        <v>5</v>
      </c>
      <c r="C4" s="3">
        <v>3</v>
      </c>
      <c r="D4" s="3">
        <v>4</v>
      </c>
      <c r="E4" s="3">
        <v>4</v>
      </c>
      <c r="F4" s="4">
        <f>ROUND((INDEX(TFN_REF!$C$4:$C$8,MATCH(B4,TFN_REF!$B$4:$B$8,0))+INDEX(TFN_REF!$C$4:$C$8,MATCH(C4,TFN_REF!$B$4:$B$8,0)))/2,2)</f>
        <v>0.5</v>
      </c>
      <c r="G4" s="4">
        <f>ROUND((INDEX(TFN_REF!$D$4:$D$8,MATCH(B4,TFN_REF!$B$4:$B$8,0))+INDEX(TFN_REF!$D$4:$D$8,MATCH(C4,TFN_REF!$B$4:$B$8,0)))/2,2)</f>
        <v>0.75</v>
      </c>
      <c r="H4" s="4">
        <f>ROUND((INDEX(TFN_REF!$E$4:$E$8,MATCH(B4,TFN_REF!$B$4:$B$8,0))+INDEX(TFN_REF!$E$4:$E$8,MATCH(C4,TFN_REF!$B$4:$B$8,0)))/2,2)</f>
        <v>0.88</v>
      </c>
      <c r="I4" s="4">
        <f>ROUND((INDEX(TFN_REF!$C$4:$C$8,MATCH(D4,TFN_REF!$B$4:$B$8,0))+INDEX(TFN_REF!$C$4:$C$8,MATCH(E4,TFN_REF!$B$4:$B$8,0)))/2,2)</f>
        <v>0.5</v>
      </c>
      <c r="J4" s="4">
        <f>ROUND((INDEX(TFN_REF!$D$4:$D$8,MATCH(D4,TFN_REF!$B$4:$B$8,0))+INDEX(TFN_REF!$D$4:$D$8,MATCH(E4,TFN_REF!$B$4:$B$8,0)))/2,2)</f>
        <v>0.75</v>
      </c>
      <c r="K4" s="4">
        <f>ROUND((INDEX(TFN_REF!$E$4:$E$8,MATCH(D4,TFN_REF!$B$4:$B$8,0))+INDEX(TFN_REF!$E$4:$E$8,MATCH(E4,TFN_REF!$B$4:$B$8,0)))/2,2)</f>
        <v>1</v>
      </c>
      <c r="L4" s="9">
        <f t="shared" ref="L4:L22" si="0">ROUND(1+(ROUND((F4+G4+H4)/3,2)*4),0)</f>
        <v>4</v>
      </c>
      <c r="M4" s="9">
        <f t="shared" ref="M4:M22" si="1">ROUND(1+(ROUND((I4+J4+K4)/3,2)*4),0)</f>
        <v>4</v>
      </c>
      <c r="N4" s="11">
        <f t="shared" ref="N4:N22" si="2">L4*M4</f>
        <v>16</v>
      </c>
      <c r="O4" s="12" t="str">
        <f t="shared" ref="O4:O22" si="3">IF(N4&gt;=20,"Sangat Tinggi",IF(N4&gt;=16,"Tinggi",IF(N4&gt;=12,"Sedang–Tinggi",IF(N4&gt;=6,"Sedang","Rendah"))))</f>
        <v>Tinggi</v>
      </c>
    </row>
    <row r="5" spans="1:15" ht="18" customHeight="1" x14ac:dyDescent="0.25">
      <c r="A5" s="10" t="s">
        <v>80</v>
      </c>
      <c r="B5" s="6">
        <v>4</v>
      </c>
      <c r="C5" s="6">
        <v>3</v>
      </c>
      <c r="D5" s="6">
        <v>4</v>
      </c>
      <c r="E5" s="6">
        <v>3</v>
      </c>
      <c r="F5" s="7">
        <f>ROUND((INDEX(TFN_REF!$C$4:$C$8,MATCH(B5,TFN_REF!$B$4:$B$8,0))+INDEX(TFN_REF!$C$4:$C$8,MATCH(C5,TFN_REF!$B$4:$B$8,0)))/2,2)</f>
        <v>0.38</v>
      </c>
      <c r="G5" s="7">
        <f>ROUND((INDEX(TFN_REF!$D$4:$D$8,MATCH(B5,TFN_REF!$B$4:$B$8,0))+INDEX(TFN_REF!$D$4:$D$8,MATCH(C5,TFN_REF!$B$4:$B$8,0)))/2,2)</f>
        <v>0.63</v>
      </c>
      <c r="H5" s="7">
        <f>ROUND((INDEX(TFN_REF!$E$4:$E$8,MATCH(B5,TFN_REF!$B$4:$B$8,0))+INDEX(TFN_REF!$E$4:$E$8,MATCH(C5,TFN_REF!$B$4:$B$8,0)))/2,2)</f>
        <v>0.88</v>
      </c>
      <c r="I5" s="7">
        <f>ROUND((INDEX(TFN_REF!$C$4:$C$8,MATCH(D5,TFN_REF!$B$4:$B$8,0))+INDEX(TFN_REF!$C$4:$C$8,MATCH(E5,TFN_REF!$B$4:$B$8,0)))/2,2)</f>
        <v>0.38</v>
      </c>
      <c r="J5" s="7">
        <f>ROUND((INDEX(TFN_REF!$D$4:$D$8,MATCH(D5,TFN_REF!$B$4:$B$8,0))+INDEX(TFN_REF!$D$4:$D$8,MATCH(E5,TFN_REF!$B$4:$B$8,0)))/2,2)</f>
        <v>0.63</v>
      </c>
      <c r="K5" s="7">
        <f>ROUND((INDEX(TFN_REF!$E$4:$E$8,MATCH(D5,TFN_REF!$B$4:$B$8,0))+INDEX(TFN_REF!$E$4:$E$8,MATCH(E5,TFN_REF!$B$4:$B$8,0)))/2,2)</f>
        <v>0.88</v>
      </c>
      <c r="L5" s="9">
        <f t="shared" si="0"/>
        <v>4</v>
      </c>
      <c r="M5" s="9">
        <f t="shared" si="1"/>
        <v>4</v>
      </c>
      <c r="N5" s="11">
        <f t="shared" si="2"/>
        <v>16</v>
      </c>
      <c r="O5" s="12" t="str">
        <f t="shared" si="3"/>
        <v>Tinggi</v>
      </c>
    </row>
    <row r="6" spans="1:15" ht="18" customHeight="1" x14ac:dyDescent="0.25">
      <c r="A6" s="8" t="s">
        <v>81</v>
      </c>
      <c r="B6" s="3">
        <v>3</v>
      </c>
      <c r="C6" s="3">
        <v>3</v>
      </c>
      <c r="D6" s="3">
        <v>4</v>
      </c>
      <c r="E6" s="3">
        <v>3</v>
      </c>
      <c r="F6" s="4">
        <f>ROUND((INDEX(TFN_REF!$C$4:$C$8,MATCH(B6,TFN_REF!$B$4:$B$8,0))+INDEX(TFN_REF!$C$4:$C$8,MATCH(C6,TFN_REF!$B$4:$B$8,0)))/2,2)</f>
        <v>0.25</v>
      </c>
      <c r="G6" s="4">
        <f>ROUND((INDEX(TFN_REF!$D$4:$D$8,MATCH(B6,TFN_REF!$B$4:$B$8,0))+INDEX(TFN_REF!$D$4:$D$8,MATCH(C6,TFN_REF!$B$4:$B$8,0)))/2,2)</f>
        <v>0.5</v>
      </c>
      <c r="H6" s="4">
        <f>ROUND((INDEX(TFN_REF!$E$4:$E$8,MATCH(B6,TFN_REF!$B$4:$B$8,0))+INDEX(TFN_REF!$E$4:$E$8,MATCH(C6,TFN_REF!$B$4:$B$8,0)))/2,2)</f>
        <v>0.75</v>
      </c>
      <c r="I6" s="4">
        <f>ROUND((INDEX(TFN_REF!$C$4:$C$8,MATCH(D6,TFN_REF!$B$4:$B$8,0))+INDEX(TFN_REF!$C$4:$C$8,MATCH(E6,TFN_REF!$B$4:$B$8,0)))/2,2)</f>
        <v>0.38</v>
      </c>
      <c r="J6" s="4">
        <f>ROUND((INDEX(TFN_REF!$D$4:$D$8,MATCH(D6,TFN_REF!$B$4:$B$8,0))+INDEX(TFN_REF!$D$4:$D$8,MATCH(E6,TFN_REF!$B$4:$B$8,0)))/2,2)</f>
        <v>0.63</v>
      </c>
      <c r="K6" s="4">
        <f>ROUND((INDEX(TFN_REF!$E$4:$E$8,MATCH(D6,TFN_REF!$B$4:$B$8,0))+INDEX(TFN_REF!$E$4:$E$8,MATCH(E6,TFN_REF!$B$4:$B$8,0)))/2,2)</f>
        <v>0.88</v>
      </c>
      <c r="L6" s="9">
        <f t="shared" si="0"/>
        <v>3</v>
      </c>
      <c r="M6" s="9">
        <f t="shared" si="1"/>
        <v>4</v>
      </c>
      <c r="N6" s="13">
        <f t="shared" si="2"/>
        <v>12</v>
      </c>
      <c r="O6" s="14" t="str">
        <f t="shared" si="3"/>
        <v>Sedang–Tinggi</v>
      </c>
    </row>
    <row r="7" spans="1:15" ht="18" customHeight="1" x14ac:dyDescent="0.25">
      <c r="A7" s="10" t="s">
        <v>82</v>
      </c>
      <c r="B7" s="6">
        <v>5</v>
      </c>
      <c r="C7" s="6">
        <v>4</v>
      </c>
      <c r="D7" s="6">
        <v>5</v>
      </c>
      <c r="E7" s="6">
        <v>2</v>
      </c>
      <c r="F7" s="7">
        <f>ROUND((INDEX(TFN_REF!$C$4:$C$8,MATCH(B7,TFN_REF!$B$4:$B$8,0))+INDEX(TFN_REF!$C$4:$C$8,MATCH(C7,TFN_REF!$B$4:$B$8,0)))/2,2)</f>
        <v>0.63</v>
      </c>
      <c r="G7" s="7">
        <f>ROUND((INDEX(TFN_REF!$D$4:$D$8,MATCH(B7,TFN_REF!$B$4:$B$8,0))+INDEX(TFN_REF!$D$4:$D$8,MATCH(C7,TFN_REF!$B$4:$B$8,0)))/2,2)</f>
        <v>0.88</v>
      </c>
      <c r="H7" s="7">
        <f>ROUND((INDEX(TFN_REF!$E$4:$E$8,MATCH(B7,TFN_REF!$B$4:$B$8,0))+INDEX(TFN_REF!$E$4:$E$8,MATCH(C7,TFN_REF!$B$4:$B$8,0)))/2,2)</f>
        <v>1</v>
      </c>
      <c r="I7" s="7">
        <f>ROUND((INDEX(TFN_REF!$C$4:$C$8,MATCH(D7,TFN_REF!$B$4:$B$8,0))+INDEX(TFN_REF!$C$4:$C$8,MATCH(E7,TFN_REF!$B$4:$B$8,0)))/2,2)</f>
        <v>0.38</v>
      </c>
      <c r="J7" s="7">
        <f>ROUND((INDEX(TFN_REF!$D$4:$D$8,MATCH(D7,TFN_REF!$B$4:$B$8,0))+INDEX(TFN_REF!$D$4:$D$8,MATCH(E7,TFN_REF!$B$4:$B$8,0)))/2,2)</f>
        <v>0.63</v>
      </c>
      <c r="K7" s="7">
        <f>ROUND((INDEX(TFN_REF!$E$4:$E$8,MATCH(D7,TFN_REF!$B$4:$B$8,0))+INDEX(TFN_REF!$E$4:$E$8,MATCH(E7,TFN_REF!$B$4:$B$8,0)))/2,2)</f>
        <v>0.75</v>
      </c>
      <c r="L7" s="9">
        <f t="shared" si="0"/>
        <v>4</v>
      </c>
      <c r="M7" s="9">
        <f t="shared" si="1"/>
        <v>3</v>
      </c>
      <c r="N7" s="13">
        <f t="shared" si="2"/>
        <v>12</v>
      </c>
      <c r="O7" s="14" t="str">
        <f t="shared" si="3"/>
        <v>Sedang–Tinggi</v>
      </c>
    </row>
    <row r="8" spans="1:15" ht="18" customHeight="1" x14ac:dyDescent="0.25">
      <c r="A8" s="8" t="s">
        <v>83</v>
      </c>
      <c r="B8" s="3">
        <v>2</v>
      </c>
      <c r="C8" s="3">
        <v>3</v>
      </c>
      <c r="D8" s="3">
        <v>2</v>
      </c>
      <c r="E8" s="3">
        <v>2</v>
      </c>
      <c r="F8" s="4">
        <f>ROUND((INDEX(TFN_REF!$C$4:$C$8,MATCH(B8,TFN_REF!$B$4:$B$8,0))+INDEX(TFN_REF!$C$4:$C$8,MATCH(C8,TFN_REF!$B$4:$B$8,0)))/2,2)</f>
        <v>0.13</v>
      </c>
      <c r="G8" s="4">
        <f>ROUND((INDEX(TFN_REF!$D$4:$D$8,MATCH(B8,TFN_REF!$B$4:$B$8,0))+INDEX(TFN_REF!$D$4:$D$8,MATCH(C8,TFN_REF!$B$4:$B$8,0)))/2,2)</f>
        <v>0.38</v>
      </c>
      <c r="H8" s="4">
        <f>ROUND((INDEX(TFN_REF!$E$4:$E$8,MATCH(B8,TFN_REF!$B$4:$B$8,0))+INDEX(TFN_REF!$E$4:$E$8,MATCH(C8,TFN_REF!$B$4:$B$8,0)))/2,2)</f>
        <v>0.63</v>
      </c>
      <c r="I8" s="4">
        <f>ROUND((INDEX(TFN_REF!$C$4:$C$8,MATCH(D8,TFN_REF!$B$4:$B$8,0))+INDEX(TFN_REF!$C$4:$C$8,MATCH(E8,TFN_REF!$B$4:$B$8,0)))/2,2)</f>
        <v>0</v>
      </c>
      <c r="J8" s="4">
        <f>ROUND((INDEX(TFN_REF!$D$4:$D$8,MATCH(D8,TFN_REF!$B$4:$B$8,0))+INDEX(TFN_REF!$D$4:$D$8,MATCH(E8,TFN_REF!$B$4:$B$8,0)))/2,2)</f>
        <v>0.25</v>
      </c>
      <c r="K8" s="4">
        <f>ROUND((INDEX(TFN_REF!$E$4:$E$8,MATCH(D8,TFN_REF!$B$4:$B$8,0))+INDEX(TFN_REF!$E$4:$E$8,MATCH(E8,TFN_REF!$B$4:$B$8,0)))/2,2)</f>
        <v>0.5</v>
      </c>
      <c r="L8" s="9">
        <f t="shared" si="0"/>
        <v>3</v>
      </c>
      <c r="M8" s="9">
        <f t="shared" si="1"/>
        <v>2</v>
      </c>
      <c r="N8" s="15">
        <f t="shared" si="2"/>
        <v>6</v>
      </c>
      <c r="O8" s="16" t="str">
        <f t="shared" si="3"/>
        <v>Sedang</v>
      </c>
    </row>
    <row r="9" spans="1:15" ht="18" customHeight="1" x14ac:dyDescent="0.25">
      <c r="A9" s="10" t="s">
        <v>84</v>
      </c>
      <c r="B9" s="6">
        <v>5</v>
      </c>
      <c r="C9" s="6">
        <v>4</v>
      </c>
      <c r="D9" s="6">
        <v>5</v>
      </c>
      <c r="E9" s="6">
        <v>2</v>
      </c>
      <c r="F9" s="7">
        <f>ROUND((INDEX(TFN_REF!$C$4:$C$8,MATCH(B9,TFN_REF!$B$4:$B$8,0))+INDEX(TFN_REF!$C$4:$C$8,MATCH(C9,TFN_REF!$B$4:$B$8,0)))/2,2)</f>
        <v>0.63</v>
      </c>
      <c r="G9" s="7">
        <f>ROUND((INDEX(TFN_REF!$D$4:$D$8,MATCH(B9,TFN_REF!$B$4:$B$8,0))+INDEX(TFN_REF!$D$4:$D$8,MATCH(C9,TFN_REF!$B$4:$B$8,0)))/2,2)</f>
        <v>0.88</v>
      </c>
      <c r="H9" s="7">
        <f>ROUND((INDEX(TFN_REF!$E$4:$E$8,MATCH(B9,TFN_REF!$B$4:$B$8,0))+INDEX(TFN_REF!$E$4:$E$8,MATCH(C9,TFN_REF!$B$4:$B$8,0)))/2,2)</f>
        <v>1</v>
      </c>
      <c r="I9" s="7">
        <f>ROUND((INDEX(TFN_REF!$C$4:$C$8,MATCH(D9,TFN_REF!$B$4:$B$8,0))+INDEX(TFN_REF!$C$4:$C$8,MATCH(E9,TFN_REF!$B$4:$B$8,0)))/2,2)</f>
        <v>0.38</v>
      </c>
      <c r="J9" s="7">
        <f>ROUND((INDEX(TFN_REF!$D$4:$D$8,MATCH(D9,TFN_REF!$B$4:$B$8,0))+INDEX(TFN_REF!$D$4:$D$8,MATCH(E9,TFN_REF!$B$4:$B$8,0)))/2,2)</f>
        <v>0.63</v>
      </c>
      <c r="K9" s="7">
        <f>ROUND((INDEX(TFN_REF!$E$4:$E$8,MATCH(D9,TFN_REF!$B$4:$B$8,0))+INDEX(TFN_REF!$E$4:$E$8,MATCH(E9,TFN_REF!$B$4:$B$8,0)))/2,2)</f>
        <v>0.75</v>
      </c>
      <c r="L9" s="9">
        <f t="shared" si="0"/>
        <v>4</v>
      </c>
      <c r="M9" s="9">
        <f t="shared" si="1"/>
        <v>3</v>
      </c>
      <c r="N9" s="13">
        <f t="shared" si="2"/>
        <v>12</v>
      </c>
      <c r="O9" s="14" t="str">
        <f t="shared" si="3"/>
        <v>Sedang–Tinggi</v>
      </c>
    </row>
    <row r="10" spans="1:15" ht="18" customHeight="1" x14ac:dyDescent="0.25">
      <c r="A10" s="8" t="s">
        <v>85</v>
      </c>
      <c r="B10" s="3">
        <v>5</v>
      </c>
      <c r="C10" s="3">
        <v>5</v>
      </c>
      <c r="D10" s="3">
        <v>5</v>
      </c>
      <c r="E10" s="3">
        <v>3</v>
      </c>
      <c r="F10" s="4">
        <f>ROUND((INDEX(TFN_REF!$C$4:$C$8,MATCH(B10,TFN_REF!$B$4:$B$8,0))+INDEX(TFN_REF!$C$4:$C$8,MATCH(C10,TFN_REF!$B$4:$B$8,0)))/2,2)</f>
        <v>0.75</v>
      </c>
      <c r="G10" s="4">
        <f>ROUND((INDEX(TFN_REF!$D$4:$D$8,MATCH(B10,TFN_REF!$B$4:$B$8,0))+INDEX(TFN_REF!$D$4:$D$8,MATCH(C10,TFN_REF!$B$4:$B$8,0)))/2,2)</f>
        <v>1</v>
      </c>
      <c r="H10" s="4">
        <f>ROUND((INDEX(TFN_REF!$E$4:$E$8,MATCH(B10,TFN_REF!$B$4:$B$8,0))+INDEX(TFN_REF!$E$4:$E$8,MATCH(C10,TFN_REF!$B$4:$B$8,0)))/2,2)</f>
        <v>1</v>
      </c>
      <c r="I10" s="4">
        <f>ROUND((INDEX(TFN_REF!$C$4:$C$8,MATCH(D10,TFN_REF!$B$4:$B$8,0))+INDEX(TFN_REF!$C$4:$C$8,MATCH(E10,TFN_REF!$B$4:$B$8,0)))/2,2)</f>
        <v>0.5</v>
      </c>
      <c r="J10" s="4">
        <f>ROUND((INDEX(TFN_REF!$D$4:$D$8,MATCH(D10,TFN_REF!$B$4:$B$8,0))+INDEX(TFN_REF!$D$4:$D$8,MATCH(E10,TFN_REF!$B$4:$B$8,0)))/2,2)</f>
        <v>0.75</v>
      </c>
      <c r="K10" s="4">
        <f>ROUND((INDEX(TFN_REF!$E$4:$E$8,MATCH(D10,TFN_REF!$B$4:$B$8,0))+INDEX(TFN_REF!$E$4:$E$8,MATCH(E10,TFN_REF!$B$4:$B$8,0)))/2,2)</f>
        <v>0.88</v>
      </c>
      <c r="L10" s="9">
        <f t="shared" si="0"/>
        <v>5</v>
      </c>
      <c r="M10" s="9">
        <f t="shared" si="1"/>
        <v>4</v>
      </c>
      <c r="N10" s="13">
        <f t="shared" si="2"/>
        <v>20</v>
      </c>
      <c r="O10" s="14" t="str">
        <f t="shared" si="3"/>
        <v>Sangat Tinggi</v>
      </c>
    </row>
    <row r="11" spans="1:15" ht="18" customHeight="1" x14ac:dyDescent="0.25">
      <c r="A11" s="10" t="s">
        <v>86</v>
      </c>
      <c r="B11" s="6">
        <v>3</v>
      </c>
      <c r="C11" s="6">
        <v>3</v>
      </c>
      <c r="D11" s="6">
        <v>3</v>
      </c>
      <c r="E11" s="6">
        <v>4</v>
      </c>
      <c r="F11" s="7">
        <f>ROUND((INDEX(TFN_REF!$C$4:$C$8,MATCH(B11,TFN_REF!$B$4:$B$8,0))+INDEX(TFN_REF!$C$4:$C$8,MATCH(C11,TFN_REF!$B$4:$B$8,0)))/2,2)</f>
        <v>0.25</v>
      </c>
      <c r="G11" s="7">
        <f>ROUND((INDEX(TFN_REF!$D$4:$D$8,MATCH(B11,TFN_REF!$B$4:$B$8,0))+INDEX(TFN_REF!$D$4:$D$8,MATCH(C11,TFN_REF!$B$4:$B$8,0)))/2,2)</f>
        <v>0.5</v>
      </c>
      <c r="H11" s="7">
        <f>ROUND((INDEX(TFN_REF!$E$4:$E$8,MATCH(B11,TFN_REF!$B$4:$B$8,0))+INDEX(TFN_REF!$E$4:$E$8,MATCH(C11,TFN_REF!$B$4:$B$8,0)))/2,2)</f>
        <v>0.75</v>
      </c>
      <c r="I11" s="7">
        <f>ROUND((INDEX(TFN_REF!$C$4:$C$8,MATCH(D11,TFN_REF!$B$4:$B$8,0))+INDEX(TFN_REF!$C$4:$C$8,MATCH(E11,TFN_REF!$B$4:$B$8,0)))/2,2)</f>
        <v>0.38</v>
      </c>
      <c r="J11" s="7">
        <f>ROUND((INDEX(TFN_REF!$D$4:$D$8,MATCH(D11,TFN_REF!$B$4:$B$8,0))+INDEX(TFN_REF!$D$4:$D$8,MATCH(E11,TFN_REF!$B$4:$B$8,0)))/2,2)</f>
        <v>0.63</v>
      </c>
      <c r="K11" s="7">
        <f>ROUND((INDEX(TFN_REF!$E$4:$E$8,MATCH(D11,TFN_REF!$B$4:$B$8,0))+INDEX(TFN_REF!$E$4:$E$8,MATCH(E11,TFN_REF!$B$4:$B$8,0)))/2,2)</f>
        <v>0.88</v>
      </c>
      <c r="L11" s="9">
        <f t="shared" si="0"/>
        <v>3</v>
      </c>
      <c r="M11" s="9">
        <f t="shared" si="1"/>
        <v>4</v>
      </c>
      <c r="N11" s="11">
        <f t="shared" si="2"/>
        <v>12</v>
      </c>
      <c r="O11" s="12" t="str">
        <f t="shared" si="3"/>
        <v>Sedang–Tinggi</v>
      </c>
    </row>
    <row r="12" spans="1:15" ht="18" customHeight="1" x14ac:dyDescent="0.25">
      <c r="A12" s="8" t="s">
        <v>87</v>
      </c>
      <c r="B12" s="3">
        <v>4</v>
      </c>
      <c r="C12" s="3">
        <v>5</v>
      </c>
      <c r="D12" s="3">
        <v>5</v>
      </c>
      <c r="E12" s="3">
        <v>3</v>
      </c>
      <c r="F12" s="4">
        <f>ROUND((INDEX(TFN_REF!$C$4:$C$8,MATCH(B12,TFN_REF!$B$4:$B$8,0))+INDEX(TFN_REF!$C$4:$C$8,MATCH(C12,TFN_REF!$B$4:$B$8,0)))/2,2)</f>
        <v>0.63</v>
      </c>
      <c r="G12" s="4">
        <f>ROUND((INDEX(TFN_REF!$D$4:$D$8,MATCH(B12,TFN_REF!$B$4:$B$8,0))+INDEX(TFN_REF!$D$4:$D$8,MATCH(C12,TFN_REF!$B$4:$B$8,0)))/2,2)</f>
        <v>0.88</v>
      </c>
      <c r="H12" s="4">
        <f>ROUND((INDEX(TFN_REF!$E$4:$E$8,MATCH(B12,TFN_REF!$B$4:$B$8,0))+INDEX(TFN_REF!$E$4:$E$8,MATCH(C12,TFN_REF!$B$4:$B$8,0)))/2,2)</f>
        <v>1</v>
      </c>
      <c r="I12" s="4">
        <f>ROUND((INDEX(TFN_REF!$C$4:$C$8,MATCH(D12,TFN_REF!$B$4:$B$8,0))+INDEX(TFN_REF!$C$4:$C$8,MATCH(E12,TFN_REF!$B$4:$B$8,0)))/2,2)</f>
        <v>0.5</v>
      </c>
      <c r="J12" s="4">
        <f>ROUND((INDEX(TFN_REF!$D$4:$D$8,MATCH(D12,TFN_REF!$B$4:$B$8,0))+INDEX(TFN_REF!$D$4:$D$8,MATCH(E12,TFN_REF!$B$4:$B$8,0)))/2,2)</f>
        <v>0.75</v>
      </c>
      <c r="K12" s="4">
        <f>ROUND((INDEX(TFN_REF!$E$4:$E$8,MATCH(D12,TFN_REF!$B$4:$B$8,0))+INDEX(TFN_REF!$E$4:$E$8,MATCH(E12,TFN_REF!$B$4:$B$8,0)))/2,2)</f>
        <v>0.88</v>
      </c>
      <c r="L12" s="9">
        <f t="shared" si="0"/>
        <v>4</v>
      </c>
      <c r="M12" s="9">
        <f t="shared" si="1"/>
        <v>4</v>
      </c>
      <c r="N12" s="11">
        <f t="shared" si="2"/>
        <v>16</v>
      </c>
      <c r="O12" s="12" t="str">
        <f t="shared" si="3"/>
        <v>Tinggi</v>
      </c>
    </row>
    <row r="13" spans="1:15" ht="18" customHeight="1" x14ac:dyDescent="0.25">
      <c r="A13" s="10" t="s">
        <v>88</v>
      </c>
      <c r="B13" s="6">
        <v>3</v>
      </c>
      <c r="C13" s="6">
        <v>4</v>
      </c>
      <c r="D13" s="6">
        <v>3</v>
      </c>
      <c r="E13" s="6">
        <v>3</v>
      </c>
      <c r="F13" s="7">
        <f>ROUND((INDEX(TFN_REF!$C$4:$C$8,MATCH(B13,TFN_REF!$B$4:$B$8,0))+INDEX(TFN_REF!$C$4:$C$8,MATCH(C13,TFN_REF!$B$4:$B$8,0)))/2,2)</f>
        <v>0.38</v>
      </c>
      <c r="G13" s="7">
        <f>ROUND((INDEX(TFN_REF!$D$4:$D$8,MATCH(B13,TFN_REF!$B$4:$B$8,0))+INDEX(TFN_REF!$D$4:$D$8,MATCH(C13,TFN_REF!$B$4:$B$8,0)))/2,2)</f>
        <v>0.63</v>
      </c>
      <c r="H13" s="7">
        <f>ROUND((INDEX(TFN_REF!$E$4:$E$8,MATCH(B13,TFN_REF!$B$4:$B$8,0))+INDEX(TFN_REF!$E$4:$E$8,MATCH(C13,TFN_REF!$B$4:$B$8,0)))/2,2)</f>
        <v>0.88</v>
      </c>
      <c r="I13" s="7">
        <f>ROUND((INDEX(TFN_REF!$C$4:$C$8,MATCH(D13,TFN_REF!$B$4:$B$8,0))+INDEX(TFN_REF!$C$4:$C$8,MATCH(E13,TFN_REF!$B$4:$B$8,0)))/2,2)</f>
        <v>0.25</v>
      </c>
      <c r="J13" s="7">
        <f>ROUND((INDEX(TFN_REF!$D$4:$D$8,MATCH(D13,TFN_REF!$B$4:$B$8,0))+INDEX(TFN_REF!$D$4:$D$8,MATCH(E13,TFN_REF!$B$4:$B$8,0)))/2,2)</f>
        <v>0.5</v>
      </c>
      <c r="K13" s="7">
        <f>ROUND((INDEX(TFN_REF!$E$4:$E$8,MATCH(D13,TFN_REF!$B$4:$B$8,0))+INDEX(TFN_REF!$E$4:$E$8,MATCH(E13,TFN_REF!$B$4:$B$8,0)))/2,2)</f>
        <v>0.75</v>
      </c>
      <c r="L13" s="9">
        <f t="shared" si="0"/>
        <v>4</v>
      </c>
      <c r="M13" s="9">
        <f t="shared" si="1"/>
        <v>3</v>
      </c>
      <c r="N13" s="17">
        <f t="shared" si="2"/>
        <v>12</v>
      </c>
      <c r="O13" s="18" t="str">
        <f t="shared" si="3"/>
        <v>Sedang–Tinggi</v>
      </c>
    </row>
    <row r="14" spans="1:15" ht="18" customHeight="1" x14ac:dyDescent="0.25">
      <c r="A14" s="8" t="s">
        <v>89</v>
      </c>
      <c r="B14" s="3">
        <v>5</v>
      </c>
      <c r="C14" s="3">
        <v>5</v>
      </c>
      <c r="D14" s="3">
        <v>4</v>
      </c>
      <c r="E14" s="3">
        <v>3</v>
      </c>
      <c r="F14" s="4">
        <f>ROUND((INDEX(TFN_REF!$C$4:$C$8,MATCH(B14,TFN_REF!$B$4:$B$8,0))+INDEX(TFN_REF!$C$4:$C$8,MATCH(C14,TFN_REF!$B$4:$B$8,0)))/2,2)</f>
        <v>0.75</v>
      </c>
      <c r="G14" s="4">
        <f>ROUND((INDEX(TFN_REF!$D$4:$D$8,MATCH(B14,TFN_REF!$B$4:$B$8,0))+INDEX(TFN_REF!$D$4:$D$8,MATCH(C14,TFN_REF!$B$4:$B$8,0)))/2,2)</f>
        <v>1</v>
      </c>
      <c r="H14" s="4">
        <f>ROUND((INDEX(TFN_REF!$E$4:$E$8,MATCH(B14,TFN_REF!$B$4:$B$8,0))+INDEX(TFN_REF!$E$4:$E$8,MATCH(C14,TFN_REF!$B$4:$B$8,0)))/2,2)</f>
        <v>1</v>
      </c>
      <c r="I14" s="4">
        <f>ROUND((INDEX(TFN_REF!$C$4:$C$8,MATCH(D14,TFN_REF!$B$4:$B$8,0))+INDEX(TFN_REF!$C$4:$C$8,MATCH(E14,TFN_REF!$B$4:$B$8,0)))/2,2)</f>
        <v>0.38</v>
      </c>
      <c r="J14" s="4">
        <f>ROUND((INDEX(TFN_REF!$D$4:$D$8,MATCH(D14,TFN_REF!$B$4:$B$8,0))+INDEX(TFN_REF!$D$4:$D$8,MATCH(E14,TFN_REF!$B$4:$B$8,0)))/2,2)</f>
        <v>0.63</v>
      </c>
      <c r="K14" s="4">
        <f>ROUND((INDEX(TFN_REF!$E$4:$E$8,MATCH(D14,TFN_REF!$B$4:$B$8,0))+INDEX(TFN_REF!$E$4:$E$8,MATCH(E14,TFN_REF!$B$4:$B$8,0)))/2,2)</f>
        <v>0.88</v>
      </c>
      <c r="L14" s="9">
        <f t="shared" si="0"/>
        <v>5</v>
      </c>
      <c r="M14" s="9">
        <f t="shared" si="1"/>
        <v>4</v>
      </c>
      <c r="N14" s="11">
        <f t="shared" si="2"/>
        <v>20</v>
      </c>
      <c r="O14" s="12" t="str">
        <f t="shared" si="3"/>
        <v>Sangat Tinggi</v>
      </c>
    </row>
    <row r="15" spans="1:15" ht="18" customHeight="1" x14ac:dyDescent="0.25">
      <c r="A15" s="10" t="s">
        <v>90</v>
      </c>
      <c r="B15" s="6">
        <v>3</v>
      </c>
      <c r="C15" s="6">
        <v>4</v>
      </c>
      <c r="D15" s="6">
        <v>3</v>
      </c>
      <c r="E15" s="6">
        <v>3</v>
      </c>
      <c r="F15" s="7">
        <f>ROUND((INDEX(TFN_REF!$C$4:$C$8,MATCH(B15,TFN_REF!$B$4:$B$8,0))+INDEX(TFN_REF!$C$4:$C$8,MATCH(C15,TFN_REF!$B$4:$B$8,0)))/2,2)</f>
        <v>0.38</v>
      </c>
      <c r="G15" s="7">
        <f>ROUND((INDEX(TFN_REF!$D$4:$D$8,MATCH(B15,TFN_REF!$B$4:$B$8,0))+INDEX(TFN_REF!$D$4:$D$8,MATCH(C15,TFN_REF!$B$4:$B$8,0)))/2,2)</f>
        <v>0.63</v>
      </c>
      <c r="H15" s="7">
        <f>ROUND((INDEX(TFN_REF!$E$4:$E$8,MATCH(B15,TFN_REF!$B$4:$B$8,0))+INDEX(TFN_REF!$E$4:$E$8,MATCH(C15,TFN_REF!$B$4:$B$8,0)))/2,2)</f>
        <v>0.88</v>
      </c>
      <c r="I15" s="7">
        <f>ROUND((INDEX(TFN_REF!$C$4:$C$8,MATCH(D15,TFN_REF!$B$4:$B$8,0))+INDEX(TFN_REF!$C$4:$C$8,MATCH(E15,TFN_REF!$B$4:$B$8,0)))/2,2)</f>
        <v>0.25</v>
      </c>
      <c r="J15" s="7">
        <f>ROUND((INDEX(TFN_REF!$D$4:$D$8,MATCH(D15,TFN_REF!$B$4:$B$8,0))+INDEX(TFN_REF!$D$4:$D$8,MATCH(E15,TFN_REF!$B$4:$B$8,0)))/2,2)</f>
        <v>0.5</v>
      </c>
      <c r="K15" s="7">
        <f>ROUND((INDEX(TFN_REF!$E$4:$E$8,MATCH(D15,TFN_REF!$B$4:$B$8,0))+INDEX(TFN_REF!$E$4:$E$8,MATCH(E15,TFN_REF!$B$4:$B$8,0)))/2,2)</f>
        <v>0.75</v>
      </c>
      <c r="L15" s="9">
        <f t="shared" si="0"/>
        <v>4</v>
      </c>
      <c r="M15" s="9">
        <f t="shared" si="1"/>
        <v>3</v>
      </c>
      <c r="N15" s="11">
        <f t="shared" si="2"/>
        <v>12</v>
      </c>
      <c r="O15" s="12" t="str">
        <f t="shared" si="3"/>
        <v>Sedang–Tinggi</v>
      </c>
    </row>
    <row r="16" spans="1:15" ht="18" customHeight="1" x14ac:dyDescent="0.25">
      <c r="A16" s="8" t="s">
        <v>91</v>
      </c>
      <c r="B16" s="3">
        <v>4</v>
      </c>
      <c r="C16" s="3">
        <v>4</v>
      </c>
      <c r="D16" s="3">
        <v>4</v>
      </c>
      <c r="E16" s="3">
        <v>3</v>
      </c>
      <c r="F16" s="4">
        <f>ROUND((INDEX(TFN_REF!$C$4:$C$8,MATCH(B16,TFN_REF!$B$4:$B$8,0))+INDEX(TFN_REF!$C$4:$C$8,MATCH(C16,TFN_REF!$B$4:$B$8,0)))/2,2)</f>
        <v>0.5</v>
      </c>
      <c r="G16" s="4">
        <f>ROUND((INDEX(TFN_REF!$D$4:$D$8,MATCH(B16,TFN_REF!$B$4:$B$8,0))+INDEX(TFN_REF!$D$4:$D$8,MATCH(C16,TFN_REF!$B$4:$B$8,0)))/2,2)</f>
        <v>0.75</v>
      </c>
      <c r="H16" s="4">
        <f>ROUND((INDEX(TFN_REF!$E$4:$E$8,MATCH(B16,TFN_REF!$B$4:$B$8,0))+INDEX(TFN_REF!$E$4:$E$8,MATCH(C16,TFN_REF!$B$4:$B$8,0)))/2,2)</f>
        <v>1</v>
      </c>
      <c r="I16" s="4">
        <f>ROUND((INDEX(TFN_REF!$C$4:$C$8,MATCH(D16,TFN_REF!$B$4:$B$8,0))+INDEX(TFN_REF!$C$4:$C$8,MATCH(E16,TFN_REF!$B$4:$B$8,0)))/2,2)</f>
        <v>0.38</v>
      </c>
      <c r="J16" s="4">
        <f>ROUND((INDEX(TFN_REF!$D$4:$D$8,MATCH(D16,TFN_REF!$B$4:$B$8,0))+INDEX(TFN_REF!$D$4:$D$8,MATCH(E16,TFN_REF!$B$4:$B$8,0)))/2,2)</f>
        <v>0.63</v>
      </c>
      <c r="K16" s="4">
        <f>ROUND((INDEX(TFN_REF!$E$4:$E$8,MATCH(D16,TFN_REF!$B$4:$B$8,0))+INDEX(TFN_REF!$E$4:$E$8,MATCH(E16,TFN_REF!$B$4:$B$8,0)))/2,2)</f>
        <v>0.88</v>
      </c>
      <c r="L16" s="9">
        <f t="shared" si="0"/>
        <v>4</v>
      </c>
      <c r="M16" s="9">
        <f t="shared" si="1"/>
        <v>4</v>
      </c>
      <c r="N16" s="11">
        <f t="shared" si="2"/>
        <v>16</v>
      </c>
      <c r="O16" s="12" t="str">
        <f t="shared" si="3"/>
        <v>Tinggi</v>
      </c>
    </row>
    <row r="17" spans="1:15" ht="18" customHeight="1" x14ac:dyDescent="0.25">
      <c r="A17" s="10" t="s">
        <v>92</v>
      </c>
      <c r="B17" s="6">
        <v>4</v>
      </c>
      <c r="C17" s="6">
        <v>2</v>
      </c>
      <c r="D17" s="6">
        <v>5</v>
      </c>
      <c r="E17" s="6">
        <v>2</v>
      </c>
      <c r="F17" s="7">
        <f>ROUND((INDEX(TFN_REF!$C$4:$C$8,MATCH(B17,TFN_REF!$B$4:$B$8,0))+INDEX(TFN_REF!$C$4:$C$8,MATCH(C17,TFN_REF!$B$4:$B$8,0)))/2,2)</f>
        <v>0.25</v>
      </c>
      <c r="G17" s="7">
        <f>ROUND((INDEX(TFN_REF!$D$4:$D$8,MATCH(B17,TFN_REF!$B$4:$B$8,0))+INDEX(TFN_REF!$D$4:$D$8,MATCH(C17,TFN_REF!$B$4:$B$8,0)))/2,2)</f>
        <v>0.5</v>
      </c>
      <c r="H17" s="7">
        <f>ROUND((INDEX(TFN_REF!$E$4:$E$8,MATCH(B17,TFN_REF!$B$4:$B$8,0))+INDEX(TFN_REF!$E$4:$E$8,MATCH(C17,TFN_REF!$B$4:$B$8,0)))/2,2)</f>
        <v>0.75</v>
      </c>
      <c r="I17" s="7">
        <f>ROUND((INDEX(TFN_REF!$C$4:$C$8,MATCH(D17,TFN_REF!$B$4:$B$8,0))+INDEX(TFN_REF!$C$4:$C$8,MATCH(E17,TFN_REF!$B$4:$B$8,0)))/2,2)</f>
        <v>0.38</v>
      </c>
      <c r="J17" s="7">
        <f>ROUND((INDEX(TFN_REF!$D$4:$D$8,MATCH(D17,TFN_REF!$B$4:$B$8,0))+INDEX(TFN_REF!$D$4:$D$8,MATCH(E17,TFN_REF!$B$4:$B$8,0)))/2,2)</f>
        <v>0.63</v>
      </c>
      <c r="K17" s="7">
        <f>ROUND((INDEX(TFN_REF!$E$4:$E$8,MATCH(D17,TFN_REF!$B$4:$B$8,0))+INDEX(TFN_REF!$E$4:$E$8,MATCH(E17,TFN_REF!$B$4:$B$8,0)))/2,2)</f>
        <v>0.75</v>
      </c>
      <c r="L17" s="9">
        <f t="shared" si="0"/>
        <v>3</v>
      </c>
      <c r="M17" s="9">
        <f t="shared" si="1"/>
        <v>3</v>
      </c>
      <c r="N17" s="13">
        <f t="shared" si="2"/>
        <v>9</v>
      </c>
      <c r="O17" s="14" t="str">
        <f t="shared" si="3"/>
        <v>Sedang</v>
      </c>
    </row>
    <row r="18" spans="1:15" ht="18" customHeight="1" x14ac:dyDescent="0.25">
      <c r="A18" s="8" t="s">
        <v>93</v>
      </c>
      <c r="B18" s="3">
        <v>1</v>
      </c>
      <c r="C18" s="3">
        <v>2</v>
      </c>
      <c r="D18" s="3">
        <v>1</v>
      </c>
      <c r="E18" s="3">
        <v>2</v>
      </c>
      <c r="F18" s="4">
        <f>ROUND((INDEX(TFN_REF!$C$4:$C$8,MATCH(B18,TFN_REF!$B$4:$B$8,0))+INDEX(TFN_REF!$C$4:$C$8,MATCH(C18,TFN_REF!$B$4:$B$8,0)))/2,2)</f>
        <v>0</v>
      </c>
      <c r="G18" s="4">
        <f>ROUND((INDEX(TFN_REF!$D$4:$D$8,MATCH(B18,TFN_REF!$B$4:$B$8,0))+INDEX(TFN_REF!$D$4:$D$8,MATCH(C18,TFN_REF!$B$4:$B$8,0)))/2,2)</f>
        <v>0.13</v>
      </c>
      <c r="H18" s="4">
        <f>ROUND((INDEX(TFN_REF!$E$4:$E$8,MATCH(B18,TFN_REF!$B$4:$B$8,0))+INDEX(TFN_REF!$E$4:$E$8,MATCH(C18,TFN_REF!$B$4:$B$8,0)))/2,2)</f>
        <v>0.38</v>
      </c>
      <c r="I18" s="4">
        <f>ROUND((INDEX(TFN_REF!$C$4:$C$8,MATCH(D18,TFN_REF!$B$4:$B$8,0))+INDEX(TFN_REF!$C$4:$C$8,MATCH(E18,TFN_REF!$B$4:$B$8,0)))/2,2)</f>
        <v>0</v>
      </c>
      <c r="J18" s="4">
        <f>ROUND((INDEX(TFN_REF!$D$4:$D$8,MATCH(D18,TFN_REF!$B$4:$B$8,0))+INDEX(TFN_REF!$D$4:$D$8,MATCH(E18,TFN_REF!$B$4:$B$8,0)))/2,2)</f>
        <v>0.13</v>
      </c>
      <c r="K18" s="4">
        <f>ROUND((INDEX(TFN_REF!$E$4:$E$8,MATCH(D18,TFN_REF!$B$4:$B$8,0))+INDEX(TFN_REF!$E$4:$E$8,MATCH(E18,TFN_REF!$B$4:$B$8,0)))/2,2)</f>
        <v>0.38</v>
      </c>
      <c r="L18" s="9">
        <f t="shared" si="0"/>
        <v>2</v>
      </c>
      <c r="M18" s="9">
        <f t="shared" si="1"/>
        <v>2</v>
      </c>
      <c r="N18" s="19">
        <f t="shared" si="2"/>
        <v>4</v>
      </c>
      <c r="O18" s="20" t="str">
        <f t="shared" si="3"/>
        <v>Rendah</v>
      </c>
    </row>
    <row r="19" spans="1:15" ht="18" customHeight="1" x14ac:dyDescent="0.25">
      <c r="A19" s="10" t="s">
        <v>94</v>
      </c>
      <c r="B19" s="6">
        <v>4</v>
      </c>
      <c r="C19" s="6">
        <v>4</v>
      </c>
      <c r="D19" s="6">
        <v>1</v>
      </c>
      <c r="E19" s="6">
        <v>2</v>
      </c>
      <c r="F19" s="7">
        <f>ROUND((INDEX(TFN_REF!$C$4:$C$8,MATCH(B19,TFN_REF!$B$4:$B$8,0))+INDEX(TFN_REF!$C$4:$C$8,MATCH(C19,TFN_REF!$B$4:$B$8,0)))/2,2)</f>
        <v>0.5</v>
      </c>
      <c r="G19" s="7">
        <f>ROUND((INDEX(TFN_REF!$D$4:$D$8,MATCH(B19,TFN_REF!$B$4:$B$8,0))+INDEX(TFN_REF!$D$4:$D$8,MATCH(C19,TFN_REF!$B$4:$B$8,0)))/2,2)</f>
        <v>0.75</v>
      </c>
      <c r="H19" s="7">
        <f>ROUND((INDEX(TFN_REF!$E$4:$E$8,MATCH(B19,TFN_REF!$B$4:$B$8,0))+INDEX(TFN_REF!$E$4:$E$8,MATCH(C19,TFN_REF!$B$4:$B$8,0)))/2,2)</f>
        <v>1</v>
      </c>
      <c r="I19" s="7">
        <f>ROUND((INDEX(TFN_REF!$C$4:$C$8,MATCH(D19,TFN_REF!$B$4:$B$8,0))+INDEX(TFN_REF!$C$4:$C$8,MATCH(E19,TFN_REF!$B$4:$B$8,0)))/2,2)</f>
        <v>0</v>
      </c>
      <c r="J19" s="7">
        <f>ROUND((INDEX(TFN_REF!$D$4:$D$8,MATCH(D19,TFN_REF!$B$4:$B$8,0))+INDEX(TFN_REF!$D$4:$D$8,MATCH(E19,TFN_REF!$B$4:$B$8,0)))/2,2)</f>
        <v>0.13</v>
      </c>
      <c r="K19" s="7">
        <f>ROUND((INDEX(TFN_REF!$E$4:$E$8,MATCH(D19,TFN_REF!$B$4:$B$8,0))+INDEX(TFN_REF!$E$4:$E$8,MATCH(E19,TFN_REF!$B$4:$B$8,0)))/2,2)</f>
        <v>0.38</v>
      </c>
      <c r="L19" s="9">
        <f t="shared" si="0"/>
        <v>4</v>
      </c>
      <c r="M19" s="9">
        <f t="shared" si="1"/>
        <v>2</v>
      </c>
      <c r="N19" s="19">
        <f t="shared" si="2"/>
        <v>8</v>
      </c>
      <c r="O19" s="20" t="str">
        <f t="shared" si="3"/>
        <v>Sedang</v>
      </c>
    </row>
    <row r="20" spans="1:15" ht="18" customHeight="1" x14ac:dyDescent="0.25">
      <c r="A20" s="8" t="s">
        <v>95</v>
      </c>
      <c r="B20" s="3">
        <v>2</v>
      </c>
      <c r="C20" s="3">
        <v>3</v>
      </c>
      <c r="D20" s="3">
        <v>1</v>
      </c>
      <c r="E20" s="3">
        <v>2</v>
      </c>
      <c r="F20" s="4">
        <f>ROUND((INDEX(TFN_REF!$C$4:$C$8,MATCH(B20,TFN_REF!$B$4:$B$8,0))+INDEX(TFN_REF!$C$4:$C$8,MATCH(C20,TFN_REF!$B$4:$B$8,0)))/2,2)</f>
        <v>0.13</v>
      </c>
      <c r="G20" s="4">
        <f>ROUND((INDEX(TFN_REF!$D$4:$D$8,MATCH(B20,TFN_REF!$B$4:$B$8,0))+INDEX(TFN_REF!$D$4:$D$8,MATCH(C20,TFN_REF!$B$4:$B$8,0)))/2,2)</f>
        <v>0.38</v>
      </c>
      <c r="H20" s="4">
        <f>ROUND((INDEX(TFN_REF!$E$4:$E$8,MATCH(B20,TFN_REF!$B$4:$B$8,0))+INDEX(TFN_REF!$E$4:$E$8,MATCH(C20,TFN_REF!$B$4:$B$8,0)))/2,2)</f>
        <v>0.63</v>
      </c>
      <c r="I20" s="4">
        <f>ROUND((INDEX(TFN_REF!$C$4:$C$8,MATCH(D20,TFN_REF!$B$4:$B$8,0))+INDEX(TFN_REF!$C$4:$C$8,MATCH(E20,TFN_REF!$B$4:$B$8,0)))/2,2)</f>
        <v>0</v>
      </c>
      <c r="J20" s="4">
        <f>ROUND((INDEX(TFN_REF!$D$4:$D$8,MATCH(D20,TFN_REF!$B$4:$B$8,0))+INDEX(TFN_REF!$D$4:$D$8,MATCH(E20,TFN_REF!$B$4:$B$8,0)))/2,2)</f>
        <v>0.13</v>
      </c>
      <c r="K20" s="4">
        <f>ROUND((INDEX(TFN_REF!$E$4:$E$8,MATCH(D20,TFN_REF!$B$4:$B$8,0))+INDEX(TFN_REF!$E$4:$E$8,MATCH(E20,TFN_REF!$B$4:$B$8,0)))/2,2)</f>
        <v>0.38</v>
      </c>
      <c r="L20" s="9">
        <f t="shared" si="0"/>
        <v>3</v>
      </c>
      <c r="M20" s="9">
        <f t="shared" si="1"/>
        <v>2</v>
      </c>
      <c r="N20" s="15">
        <f t="shared" si="2"/>
        <v>6</v>
      </c>
      <c r="O20" s="16" t="str">
        <f t="shared" si="3"/>
        <v>Sedang</v>
      </c>
    </row>
    <row r="21" spans="1:15" ht="18" customHeight="1" x14ac:dyDescent="0.25">
      <c r="A21" s="10" t="s">
        <v>96</v>
      </c>
      <c r="B21" s="6">
        <v>2</v>
      </c>
      <c r="C21" s="6">
        <v>2</v>
      </c>
      <c r="D21" s="6">
        <v>1</v>
      </c>
      <c r="E21" s="6">
        <v>2</v>
      </c>
      <c r="F21" s="7">
        <f>ROUND((INDEX(TFN_REF!$C$4:$C$8,MATCH(B21,TFN_REF!$B$4:$B$8,0))+INDEX(TFN_REF!$C$4:$C$8,MATCH(C21,TFN_REF!$B$4:$B$8,0)))/2,2)</f>
        <v>0</v>
      </c>
      <c r="G21" s="7">
        <f>ROUND((INDEX(TFN_REF!$D$4:$D$8,MATCH(B21,TFN_REF!$B$4:$B$8,0))+INDEX(TFN_REF!$D$4:$D$8,MATCH(C21,TFN_REF!$B$4:$B$8,0)))/2,2)</f>
        <v>0.25</v>
      </c>
      <c r="H21" s="7">
        <f>ROUND((INDEX(TFN_REF!$E$4:$E$8,MATCH(B21,TFN_REF!$B$4:$B$8,0))+INDEX(TFN_REF!$E$4:$E$8,MATCH(C21,TFN_REF!$B$4:$B$8,0)))/2,2)</f>
        <v>0.5</v>
      </c>
      <c r="I21" s="7">
        <f>ROUND((INDEX(TFN_REF!$C$4:$C$8,MATCH(D21,TFN_REF!$B$4:$B$8,0))+INDEX(TFN_REF!$C$4:$C$8,MATCH(E21,TFN_REF!$B$4:$B$8,0)))/2,2)</f>
        <v>0</v>
      </c>
      <c r="J21" s="7">
        <f>ROUND((INDEX(TFN_REF!$D$4:$D$8,MATCH(D21,TFN_REF!$B$4:$B$8,0))+INDEX(TFN_REF!$D$4:$D$8,MATCH(E21,TFN_REF!$B$4:$B$8,0)))/2,2)</f>
        <v>0.13</v>
      </c>
      <c r="K21" s="7">
        <f>ROUND((INDEX(TFN_REF!$E$4:$E$8,MATCH(D21,TFN_REF!$B$4:$B$8,0))+INDEX(TFN_REF!$E$4:$E$8,MATCH(E21,TFN_REF!$B$4:$B$8,0)))/2,2)</f>
        <v>0.38</v>
      </c>
      <c r="L21" s="9">
        <f t="shared" si="0"/>
        <v>2</v>
      </c>
      <c r="M21" s="9">
        <f t="shared" si="1"/>
        <v>2</v>
      </c>
      <c r="N21" s="19">
        <f t="shared" si="2"/>
        <v>4</v>
      </c>
      <c r="O21" s="20" t="str">
        <f t="shared" si="3"/>
        <v>Rendah</v>
      </c>
    </row>
    <row r="22" spans="1:15" ht="18" customHeight="1" x14ac:dyDescent="0.25">
      <c r="A22" s="8" t="s">
        <v>97</v>
      </c>
      <c r="B22" s="3">
        <v>5</v>
      </c>
      <c r="C22" s="3">
        <v>4</v>
      </c>
      <c r="D22" s="3">
        <v>1</v>
      </c>
      <c r="E22" s="3">
        <v>4</v>
      </c>
      <c r="F22" s="4">
        <f>ROUND((INDEX(TFN_REF!$C$4:$C$8,MATCH(B22,TFN_REF!$B$4:$B$8,0))+INDEX(TFN_REF!$C$4:$C$8,MATCH(C22,TFN_REF!$B$4:$B$8,0)))/2,2)</f>
        <v>0.63</v>
      </c>
      <c r="G22" s="4">
        <f>ROUND((INDEX(TFN_REF!$D$4:$D$8,MATCH(B22,TFN_REF!$B$4:$B$8,0))+INDEX(TFN_REF!$D$4:$D$8,MATCH(C22,TFN_REF!$B$4:$B$8,0)))/2,2)</f>
        <v>0.88</v>
      </c>
      <c r="H22" s="4">
        <f>ROUND((INDEX(TFN_REF!$E$4:$E$8,MATCH(B22,TFN_REF!$B$4:$B$8,0))+INDEX(TFN_REF!$E$4:$E$8,MATCH(C22,TFN_REF!$B$4:$B$8,0)))/2,2)</f>
        <v>1</v>
      </c>
      <c r="I22" s="4">
        <f>ROUND((INDEX(TFN_REF!$C$4:$C$8,MATCH(D22,TFN_REF!$B$4:$B$8,0))+INDEX(TFN_REF!$C$4:$C$8,MATCH(E22,TFN_REF!$B$4:$B$8,0)))/2,2)</f>
        <v>0.25</v>
      </c>
      <c r="J22" s="4">
        <f>ROUND((INDEX(TFN_REF!$D$4:$D$8,MATCH(D22,TFN_REF!$B$4:$B$8,0))+INDEX(TFN_REF!$D$4:$D$8,MATCH(E22,TFN_REF!$B$4:$B$8,0)))/2,2)</f>
        <v>0.38</v>
      </c>
      <c r="K22" s="4">
        <f>ROUND((INDEX(TFN_REF!$E$4:$E$8,MATCH(D22,TFN_REF!$B$4:$B$8,0))+INDEX(TFN_REF!$E$4:$E$8,MATCH(E22,TFN_REF!$B$4:$B$8,0)))/2,2)</f>
        <v>0.63</v>
      </c>
      <c r="L22" s="9">
        <f t="shared" si="0"/>
        <v>4</v>
      </c>
      <c r="M22" s="9">
        <f t="shared" si="1"/>
        <v>3</v>
      </c>
      <c r="N22" s="13">
        <f t="shared" si="2"/>
        <v>12</v>
      </c>
      <c r="O22" s="14" t="str">
        <f t="shared" si="3"/>
        <v>Sedang–Tinggi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tabSelected="1" topLeftCell="J1" workbookViewId="0">
      <selection sqref="A1:P1"/>
    </sheetView>
  </sheetViews>
  <sheetFormatPr defaultRowHeight="15" x14ac:dyDescent="0.25"/>
  <cols>
    <col min="1" max="1" width="36" customWidth="1"/>
    <col min="2" max="3" width="5" customWidth="1"/>
    <col min="4" max="9" width="6" customWidth="1"/>
    <col min="10" max="13" width="9" customWidth="1"/>
    <col min="14" max="15" width="10" customWidth="1"/>
    <col min="16" max="16" width="18" customWidth="1"/>
  </cols>
  <sheetData>
    <row r="1" spans="1:16" ht="21.95" customHeight="1" x14ac:dyDescent="0.25">
      <c r="A1" s="26" t="s">
        <v>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8" customHeight="1" x14ac:dyDescent="0.25">
      <c r="A2" s="28" t="s">
        <v>99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30" customHeight="1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100</v>
      </c>
      <c r="O3" s="1" t="s">
        <v>42</v>
      </c>
      <c r="P3" s="1" t="s">
        <v>43</v>
      </c>
    </row>
    <row r="4" spans="1:16" ht="18" customHeight="1" x14ac:dyDescent="0.25">
      <c r="A4" s="8" t="s">
        <v>101</v>
      </c>
      <c r="B4" s="3">
        <v>1</v>
      </c>
      <c r="C4" s="3">
        <v>1</v>
      </c>
      <c r="D4" s="4">
        <f>ROUND(INDEX(TFN_REF!$C$12:$C$14,MATCH(B4,TFN_REF!$B$12:$B$14,0)),2)</f>
        <v>0</v>
      </c>
      <c r="E4" s="4">
        <f>ROUND(INDEX(TFN_REF!$D$12:$D$14,MATCH(B4,TFN_REF!$B$12:$B$14,0)),2)</f>
        <v>0</v>
      </c>
      <c r="F4" s="4">
        <f>ROUND(INDEX(TFN_REF!$E$12:$E$14,MATCH(B4,TFN_REF!$B$12:$B$14,0)),2)</f>
        <v>0.5</v>
      </c>
      <c r="G4" s="4">
        <f>ROUND(INDEX(TFN_REF!$C$12:$C$14,MATCH(C4,TFN_REF!$B$12:$B$14,0)),2)</f>
        <v>0</v>
      </c>
      <c r="H4" s="4">
        <f>ROUND(INDEX(TFN_REF!$D$12:$D$14,MATCH(C4,TFN_REF!$B$12:$B$14,0)),2)</f>
        <v>0</v>
      </c>
      <c r="I4" s="4">
        <f>ROUND(INDEX(TFN_REF!$E$12:$E$14,MATCH(C4,TFN_REF!$B$12:$B$14,0)),2)</f>
        <v>0.5</v>
      </c>
      <c r="J4" s="4">
        <f t="shared" ref="J4:J23" si="0">ROUND((D4+G4)/2,2)</f>
        <v>0</v>
      </c>
      <c r="K4" s="4">
        <f t="shared" ref="K4:K23" si="1">ROUND((E4+H4)/2,2)</f>
        <v>0</v>
      </c>
      <c r="L4" s="4">
        <f t="shared" ref="L4:L23" si="2">ROUND((F4+I4)/2,2)</f>
        <v>0.5</v>
      </c>
      <c r="M4" s="4">
        <f t="shared" ref="M4:M23" si="3">ROUND((J4+K4+L4)/3,2)</f>
        <v>0.17</v>
      </c>
      <c r="N4" s="4">
        <f t="shared" ref="N4:N23" si="4">ROUND(1+(M4*2),2)</f>
        <v>1.34</v>
      </c>
      <c r="O4" s="9">
        <f t="shared" ref="O4:O23" si="5">ROUND(N4,0)</f>
        <v>1</v>
      </c>
      <c r="P4" s="8" t="str">
        <f>INDEX(TFN_REF!$F$12:$F$14,MATCH(O4,TFN_REF!$B$12:$B$14,0))</f>
        <v>No Issue</v>
      </c>
    </row>
    <row r="5" spans="1:16" ht="18" customHeight="1" x14ac:dyDescent="0.25">
      <c r="A5" s="10" t="s">
        <v>102</v>
      </c>
      <c r="B5" s="6">
        <v>1</v>
      </c>
      <c r="C5" s="6">
        <v>1</v>
      </c>
      <c r="D5" s="7">
        <f>ROUND(INDEX(TFN_REF!$C$12:$C$14,MATCH(B5,TFN_REF!$B$12:$B$14,0)),2)</f>
        <v>0</v>
      </c>
      <c r="E5" s="7">
        <f>ROUND(INDEX(TFN_REF!$D$12:$D$14,MATCH(B5,TFN_REF!$B$12:$B$14,0)),2)</f>
        <v>0</v>
      </c>
      <c r="F5" s="7">
        <f>ROUND(INDEX(TFN_REF!$E$12:$E$14,MATCH(B5,TFN_REF!$B$12:$B$14,0)),2)</f>
        <v>0.5</v>
      </c>
      <c r="G5" s="7">
        <f>ROUND(INDEX(TFN_REF!$C$12:$C$14,MATCH(C5,TFN_REF!$B$12:$B$14,0)),2)</f>
        <v>0</v>
      </c>
      <c r="H5" s="7">
        <f>ROUND(INDEX(TFN_REF!$D$12:$D$14,MATCH(C5,TFN_REF!$B$12:$B$14,0)),2)</f>
        <v>0</v>
      </c>
      <c r="I5" s="7">
        <f>ROUND(INDEX(TFN_REF!$E$12:$E$14,MATCH(C5,TFN_REF!$B$12:$B$14,0)),2)</f>
        <v>0.5</v>
      </c>
      <c r="J5" s="7">
        <f t="shared" si="0"/>
        <v>0</v>
      </c>
      <c r="K5" s="7">
        <f t="shared" si="1"/>
        <v>0</v>
      </c>
      <c r="L5" s="7">
        <f t="shared" si="2"/>
        <v>0.5</v>
      </c>
      <c r="M5" s="7">
        <f t="shared" si="3"/>
        <v>0.17</v>
      </c>
      <c r="N5" s="7">
        <f t="shared" si="4"/>
        <v>1.34</v>
      </c>
      <c r="O5" s="9">
        <f t="shared" si="5"/>
        <v>1</v>
      </c>
      <c r="P5" s="10" t="str">
        <f>INDEX(TFN_REF!$F$12:$F$14,MATCH(O5,TFN_REF!$B$12:$B$14,0))</f>
        <v>No Issue</v>
      </c>
    </row>
    <row r="6" spans="1:16" ht="18" customHeight="1" x14ac:dyDescent="0.25">
      <c r="A6" s="8" t="s">
        <v>103</v>
      </c>
      <c r="B6" s="3">
        <v>2</v>
      </c>
      <c r="C6" s="3">
        <v>1</v>
      </c>
      <c r="D6" s="4">
        <f>ROUND(INDEX(TFN_REF!$C$12:$C$14,MATCH(B6,TFN_REF!$B$12:$B$14,0)),2)</f>
        <v>0</v>
      </c>
      <c r="E6" s="4">
        <f>ROUND(INDEX(TFN_REF!$D$12:$D$14,MATCH(B6,TFN_REF!$B$12:$B$14,0)),2)</f>
        <v>0.5</v>
      </c>
      <c r="F6" s="4">
        <f>ROUND(INDEX(TFN_REF!$E$12:$E$14,MATCH(B6,TFN_REF!$B$12:$B$14,0)),2)</f>
        <v>1</v>
      </c>
      <c r="G6" s="4">
        <f>ROUND(INDEX(TFN_REF!$C$12:$C$14,MATCH(C6,TFN_REF!$B$12:$B$14,0)),2)</f>
        <v>0</v>
      </c>
      <c r="H6" s="4">
        <f>ROUND(INDEX(TFN_REF!$D$12:$D$14,MATCH(C6,TFN_REF!$B$12:$B$14,0)),2)</f>
        <v>0</v>
      </c>
      <c r="I6" s="4">
        <f>ROUND(INDEX(TFN_REF!$E$12:$E$14,MATCH(C6,TFN_REF!$B$12:$B$14,0)),2)</f>
        <v>0.5</v>
      </c>
      <c r="J6" s="4">
        <f t="shared" si="0"/>
        <v>0</v>
      </c>
      <c r="K6" s="4">
        <f t="shared" si="1"/>
        <v>0.25</v>
      </c>
      <c r="L6" s="4">
        <f t="shared" si="2"/>
        <v>0.75</v>
      </c>
      <c r="M6" s="4">
        <f t="shared" si="3"/>
        <v>0.33</v>
      </c>
      <c r="N6" s="4">
        <f t="shared" si="4"/>
        <v>1.66</v>
      </c>
      <c r="O6" s="9">
        <f t="shared" si="5"/>
        <v>2</v>
      </c>
      <c r="P6" s="8" t="str">
        <f>INDEX(TFN_REF!$F$12:$F$14,MATCH(O6,TFN_REF!$B$12:$B$14,0))</f>
        <v>Issue</v>
      </c>
    </row>
    <row r="7" spans="1:16" ht="18" customHeight="1" x14ac:dyDescent="0.25">
      <c r="A7" s="10" t="s">
        <v>104</v>
      </c>
      <c r="B7" s="6">
        <v>1</v>
      </c>
      <c r="C7" s="6">
        <v>2</v>
      </c>
      <c r="D7" s="7">
        <f>ROUND(INDEX(TFN_REF!$C$12:$C$14,MATCH(B7,TFN_REF!$B$12:$B$14,0)),2)</f>
        <v>0</v>
      </c>
      <c r="E7" s="7">
        <f>ROUND(INDEX(TFN_REF!$D$12:$D$14,MATCH(B7,TFN_REF!$B$12:$B$14,0)),2)</f>
        <v>0</v>
      </c>
      <c r="F7" s="7">
        <f>ROUND(INDEX(TFN_REF!$E$12:$E$14,MATCH(B7,TFN_REF!$B$12:$B$14,0)),2)</f>
        <v>0.5</v>
      </c>
      <c r="G7" s="7">
        <f>ROUND(INDEX(TFN_REF!$C$12:$C$14,MATCH(C7,TFN_REF!$B$12:$B$14,0)),2)</f>
        <v>0</v>
      </c>
      <c r="H7" s="7">
        <f>ROUND(INDEX(TFN_REF!$D$12:$D$14,MATCH(C7,TFN_REF!$B$12:$B$14,0)),2)</f>
        <v>0.5</v>
      </c>
      <c r="I7" s="7">
        <f>ROUND(INDEX(TFN_REF!$E$12:$E$14,MATCH(C7,TFN_REF!$B$12:$B$14,0)),2)</f>
        <v>1</v>
      </c>
      <c r="J7" s="7">
        <f t="shared" si="0"/>
        <v>0</v>
      </c>
      <c r="K7" s="7">
        <f t="shared" si="1"/>
        <v>0.25</v>
      </c>
      <c r="L7" s="7">
        <f t="shared" si="2"/>
        <v>0.75</v>
      </c>
      <c r="M7" s="7">
        <f t="shared" si="3"/>
        <v>0.33</v>
      </c>
      <c r="N7" s="7">
        <f t="shared" si="4"/>
        <v>1.66</v>
      </c>
      <c r="O7" s="9">
        <f t="shared" si="5"/>
        <v>2</v>
      </c>
      <c r="P7" s="10" t="str">
        <f>INDEX(TFN_REF!$F$12:$F$14,MATCH(O7,TFN_REF!$B$12:$B$14,0))</f>
        <v>Issue</v>
      </c>
    </row>
    <row r="8" spans="1:16" ht="18" customHeight="1" x14ac:dyDescent="0.25">
      <c r="A8" s="8" t="s">
        <v>105</v>
      </c>
      <c r="B8" s="3">
        <v>1</v>
      </c>
      <c r="C8" s="3">
        <v>1</v>
      </c>
      <c r="D8" s="4">
        <f>ROUND(INDEX(TFN_REF!$C$12:$C$14,MATCH(B8,TFN_REF!$B$12:$B$14,0)),2)</f>
        <v>0</v>
      </c>
      <c r="E8" s="4">
        <f>ROUND(INDEX(TFN_REF!$D$12:$D$14,MATCH(B8,TFN_REF!$B$12:$B$14,0)),2)</f>
        <v>0</v>
      </c>
      <c r="F8" s="4">
        <f>ROUND(INDEX(TFN_REF!$E$12:$E$14,MATCH(B8,TFN_REF!$B$12:$B$14,0)),2)</f>
        <v>0.5</v>
      </c>
      <c r="G8" s="4">
        <f>ROUND(INDEX(TFN_REF!$C$12:$C$14,MATCH(C8,TFN_REF!$B$12:$B$14,0)),2)</f>
        <v>0</v>
      </c>
      <c r="H8" s="4">
        <f>ROUND(INDEX(TFN_REF!$D$12:$D$14,MATCH(C8,TFN_REF!$B$12:$B$14,0)),2)</f>
        <v>0</v>
      </c>
      <c r="I8" s="4">
        <f>ROUND(INDEX(TFN_REF!$E$12:$E$14,MATCH(C8,TFN_REF!$B$12:$B$14,0)),2)</f>
        <v>0.5</v>
      </c>
      <c r="J8" s="4">
        <f t="shared" si="0"/>
        <v>0</v>
      </c>
      <c r="K8" s="4">
        <f t="shared" si="1"/>
        <v>0</v>
      </c>
      <c r="L8" s="4">
        <f t="shared" si="2"/>
        <v>0.5</v>
      </c>
      <c r="M8" s="4">
        <f t="shared" si="3"/>
        <v>0.17</v>
      </c>
      <c r="N8" s="4">
        <f t="shared" si="4"/>
        <v>1.34</v>
      </c>
      <c r="O8" s="9">
        <f t="shared" si="5"/>
        <v>1</v>
      </c>
      <c r="P8" s="8" t="str">
        <f>INDEX(TFN_REF!$F$12:$F$14,MATCH(O8,TFN_REF!$B$12:$B$14,0))</f>
        <v>No Issue</v>
      </c>
    </row>
    <row r="9" spans="1:16" ht="18" customHeight="1" x14ac:dyDescent="0.25">
      <c r="A9" s="10" t="s">
        <v>106</v>
      </c>
      <c r="B9" s="6">
        <v>1</v>
      </c>
      <c r="C9" s="6">
        <v>1</v>
      </c>
      <c r="D9" s="7">
        <f>ROUND(INDEX(TFN_REF!$C$12:$C$14,MATCH(B9,TFN_REF!$B$12:$B$14,0)),2)</f>
        <v>0</v>
      </c>
      <c r="E9" s="7">
        <f>ROUND(INDEX(TFN_REF!$D$12:$D$14,MATCH(B9,TFN_REF!$B$12:$B$14,0)),2)</f>
        <v>0</v>
      </c>
      <c r="F9" s="7">
        <f>ROUND(INDEX(TFN_REF!$E$12:$E$14,MATCH(B9,TFN_REF!$B$12:$B$14,0)),2)</f>
        <v>0.5</v>
      </c>
      <c r="G9" s="7">
        <f>ROUND(INDEX(TFN_REF!$C$12:$C$14,MATCH(C9,TFN_REF!$B$12:$B$14,0)),2)</f>
        <v>0</v>
      </c>
      <c r="H9" s="7">
        <f>ROUND(INDEX(TFN_REF!$D$12:$D$14,MATCH(C9,TFN_REF!$B$12:$B$14,0)),2)</f>
        <v>0</v>
      </c>
      <c r="I9" s="7">
        <f>ROUND(INDEX(TFN_REF!$E$12:$E$14,MATCH(C9,TFN_REF!$B$12:$B$14,0)),2)</f>
        <v>0.5</v>
      </c>
      <c r="J9" s="7">
        <f t="shared" si="0"/>
        <v>0</v>
      </c>
      <c r="K9" s="7">
        <f t="shared" si="1"/>
        <v>0</v>
      </c>
      <c r="L9" s="7">
        <f t="shared" si="2"/>
        <v>0.5</v>
      </c>
      <c r="M9" s="7">
        <f t="shared" si="3"/>
        <v>0.17</v>
      </c>
      <c r="N9" s="7">
        <f t="shared" si="4"/>
        <v>1.34</v>
      </c>
      <c r="O9" s="9">
        <f t="shared" si="5"/>
        <v>1</v>
      </c>
      <c r="P9" s="10" t="str">
        <f>INDEX(TFN_REF!$F$12:$F$14,MATCH(O9,TFN_REF!$B$12:$B$14,0))</f>
        <v>No Issue</v>
      </c>
    </row>
    <row r="10" spans="1:16" ht="18" customHeight="1" x14ac:dyDescent="0.25">
      <c r="A10" s="8" t="s">
        <v>107</v>
      </c>
      <c r="B10" s="3">
        <v>1</v>
      </c>
      <c r="C10" s="3">
        <v>1</v>
      </c>
      <c r="D10" s="4">
        <f>ROUND(INDEX(TFN_REF!$C$12:$C$14,MATCH(B10,TFN_REF!$B$12:$B$14,0)),2)</f>
        <v>0</v>
      </c>
      <c r="E10" s="4">
        <f>ROUND(INDEX(TFN_REF!$D$12:$D$14,MATCH(B10,TFN_REF!$B$12:$B$14,0)),2)</f>
        <v>0</v>
      </c>
      <c r="F10" s="4">
        <f>ROUND(INDEX(TFN_REF!$E$12:$E$14,MATCH(B10,TFN_REF!$B$12:$B$14,0)),2)</f>
        <v>0.5</v>
      </c>
      <c r="G10" s="4">
        <f>ROUND(INDEX(TFN_REF!$C$12:$C$14,MATCH(C10,TFN_REF!$B$12:$B$14,0)),2)</f>
        <v>0</v>
      </c>
      <c r="H10" s="4">
        <f>ROUND(INDEX(TFN_REF!$D$12:$D$14,MATCH(C10,TFN_REF!$B$12:$B$14,0)),2)</f>
        <v>0</v>
      </c>
      <c r="I10" s="4">
        <f>ROUND(INDEX(TFN_REF!$E$12:$E$14,MATCH(C10,TFN_REF!$B$12:$B$14,0)),2)</f>
        <v>0.5</v>
      </c>
      <c r="J10" s="4">
        <f t="shared" si="0"/>
        <v>0</v>
      </c>
      <c r="K10" s="4">
        <f t="shared" si="1"/>
        <v>0</v>
      </c>
      <c r="L10" s="4">
        <f t="shared" si="2"/>
        <v>0.5</v>
      </c>
      <c r="M10" s="4">
        <f t="shared" si="3"/>
        <v>0.17</v>
      </c>
      <c r="N10" s="4">
        <f t="shared" si="4"/>
        <v>1.34</v>
      </c>
      <c r="O10" s="9">
        <f t="shared" si="5"/>
        <v>1</v>
      </c>
      <c r="P10" s="8" t="str">
        <f>INDEX(TFN_REF!$F$12:$F$14,MATCH(O10,TFN_REF!$B$12:$B$14,0))</f>
        <v>No Issue</v>
      </c>
    </row>
    <row r="11" spans="1:16" ht="18" customHeight="1" x14ac:dyDescent="0.25">
      <c r="A11" s="10" t="s">
        <v>108</v>
      </c>
      <c r="B11" s="6">
        <v>1</v>
      </c>
      <c r="C11" s="6">
        <v>1</v>
      </c>
      <c r="D11" s="7">
        <f>ROUND(INDEX(TFN_REF!$C$12:$C$14,MATCH(B11,TFN_REF!$B$12:$B$14,0)),2)</f>
        <v>0</v>
      </c>
      <c r="E11" s="7">
        <f>ROUND(INDEX(TFN_REF!$D$12:$D$14,MATCH(B11,TFN_REF!$B$12:$B$14,0)),2)</f>
        <v>0</v>
      </c>
      <c r="F11" s="7">
        <f>ROUND(INDEX(TFN_REF!$E$12:$E$14,MATCH(B11,TFN_REF!$B$12:$B$14,0)),2)</f>
        <v>0.5</v>
      </c>
      <c r="G11" s="7">
        <f>ROUND(INDEX(TFN_REF!$C$12:$C$14,MATCH(C11,TFN_REF!$B$12:$B$14,0)),2)</f>
        <v>0</v>
      </c>
      <c r="H11" s="7">
        <f>ROUND(INDEX(TFN_REF!$D$12:$D$14,MATCH(C11,TFN_REF!$B$12:$B$14,0)),2)</f>
        <v>0</v>
      </c>
      <c r="I11" s="7">
        <f>ROUND(INDEX(TFN_REF!$E$12:$E$14,MATCH(C11,TFN_REF!$B$12:$B$14,0)),2)</f>
        <v>0.5</v>
      </c>
      <c r="J11" s="7">
        <f t="shared" si="0"/>
        <v>0</v>
      </c>
      <c r="K11" s="7">
        <f t="shared" si="1"/>
        <v>0</v>
      </c>
      <c r="L11" s="7">
        <f t="shared" si="2"/>
        <v>0.5</v>
      </c>
      <c r="M11" s="7">
        <f t="shared" si="3"/>
        <v>0.17</v>
      </c>
      <c r="N11" s="7">
        <f t="shared" si="4"/>
        <v>1.34</v>
      </c>
      <c r="O11" s="9">
        <f t="shared" si="5"/>
        <v>1</v>
      </c>
      <c r="P11" s="10" t="str">
        <f>INDEX(TFN_REF!$F$12:$F$14,MATCH(O11,TFN_REF!$B$12:$B$14,0))</f>
        <v>No Issue</v>
      </c>
    </row>
    <row r="12" spans="1:16" ht="18" customHeight="1" x14ac:dyDescent="0.25">
      <c r="A12" s="8" t="s">
        <v>109</v>
      </c>
      <c r="B12" s="3">
        <v>3</v>
      </c>
      <c r="C12" s="3">
        <v>2</v>
      </c>
      <c r="D12" s="4">
        <f>ROUND(INDEX(TFN_REF!$C$12:$C$14,MATCH(B12,TFN_REF!$B$12:$B$14,0)),2)</f>
        <v>0.5</v>
      </c>
      <c r="E12" s="4">
        <f>ROUND(INDEX(TFN_REF!$D$12:$D$14,MATCH(B12,TFN_REF!$B$12:$B$14,0)),2)</f>
        <v>1</v>
      </c>
      <c r="F12" s="4">
        <f>ROUND(INDEX(TFN_REF!$E$12:$E$14,MATCH(B12,TFN_REF!$B$12:$B$14,0)),2)</f>
        <v>1</v>
      </c>
      <c r="G12" s="4">
        <f>ROUND(INDEX(TFN_REF!$C$12:$C$14,MATCH(C12,TFN_REF!$B$12:$B$14,0)),2)</f>
        <v>0</v>
      </c>
      <c r="H12" s="4">
        <f>ROUND(INDEX(TFN_REF!$D$12:$D$14,MATCH(C12,TFN_REF!$B$12:$B$14,0)),2)</f>
        <v>0.5</v>
      </c>
      <c r="I12" s="4">
        <f>ROUND(INDEX(TFN_REF!$E$12:$E$14,MATCH(C12,TFN_REF!$B$12:$B$14,0)),2)</f>
        <v>1</v>
      </c>
      <c r="J12" s="4">
        <f t="shared" si="0"/>
        <v>0.25</v>
      </c>
      <c r="K12" s="4">
        <f t="shared" si="1"/>
        <v>0.75</v>
      </c>
      <c r="L12" s="4">
        <f t="shared" si="2"/>
        <v>1</v>
      </c>
      <c r="M12" s="4">
        <f t="shared" si="3"/>
        <v>0.67</v>
      </c>
      <c r="N12" s="4">
        <f t="shared" si="4"/>
        <v>2.34</v>
      </c>
      <c r="O12" s="9">
        <f t="shared" si="5"/>
        <v>2</v>
      </c>
      <c r="P12" s="8" t="str">
        <f>INDEX(TFN_REF!$F$12:$F$14,MATCH(O12,TFN_REF!$B$12:$B$14,0))</f>
        <v>Issue</v>
      </c>
    </row>
    <row r="13" spans="1:16" ht="18" customHeight="1" x14ac:dyDescent="0.25">
      <c r="A13" s="10" t="s">
        <v>110</v>
      </c>
      <c r="B13" s="6">
        <v>2</v>
      </c>
      <c r="C13" s="6">
        <v>2</v>
      </c>
      <c r="D13" s="7">
        <f>ROUND(INDEX(TFN_REF!$C$12:$C$14,MATCH(B13,TFN_REF!$B$12:$B$14,0)),2)</f>
        <v>0</v>
      </c>
      <c r="E13" s="7">
        <f>ROUND(INDEX(TFN_REF!$D$12:$D$14,MATCH(B13,TFN_REF!$B$12:$B$14,0)),2)</f>
        <v>0.5</v>
      </c>
      <c r="F13" s="7">
        <f>ROUND(INDEX(TFN_REF!$E$12:$E$14,MATCH(B13,TFN_REF!$B$12:$B$14,0)),2)</f>
        <v>1</v>
      </c>
      <c r="G13" s="7">
        <f>ROUND(INDEX(TFN_REF!$C$12:$C$14,MATCH(C13,TFN_REF!$B$12:$B$14,0)),2)</f>
        <v>0</v>
      </c>
      <c r="H13" s="7">
        <f>ROUND(INDEX(TFN_REF!$D$12:$D$14,MATCH(C13,TFN_REF!$B$12:$B$14,0)),2)</f>
        <v>0.5</v>
      </c>
      <c r="I13" s="7">
        <f>ROUND(INDEX(TFN_REF!$E$12:$E$14,MATCH(C13,TFN_REF!$B$12:$B$14,0)),2)</f>
        <v>1</v>
      </c>
      <c r="J13" s="7">
        <f t="shared" si="0"/>
        <v>0</v>
      </c>
      <c r="K13" s="7">
        <f t="shared" si="1"/>
        <v>0.5</v>
      </c>
      <c r="L13" s="7">
        <f t="shared" si="2"/>
        <v>1</v>
      </c>
      <c r="M13" s="7">
        <f t="shared" si="3"/>
        <v>0.5</v>
      </c>
      <c r="N13" s="7">
        <f t="shared" si="4"/>
        <v>2</v>
      </c>
      <c r="O13" s="9">
        <f t="shared" si="5"/>
        <v>2</v>
      </c>
      <c r="P13" s="10" t="str">
        <f>INDEX(TFN_REF!$F$12:$F$14,MATCH(O13,TFN_REF!$B$12:$B$14,0))</f>
        <v>Issue</v>
      </c>
    </row>
    <row r="14" spans="1:16" ht="18" customHeight="1" x14ac:dyDescent="0.25">
      <c r="A14" s="8" t="s">
        <v>111</v>
      </c>
      <c r="B14" s="3">
        <v>1</v>
      </c>
      <c r="C14" s="3">
        <v>2</v>
      </c>
      <c r="D14" s="4">
        <f>ROUND(INDEX(TFN_REF!$C$12:$C$14,MATCH(B14,TFN_REF!$B$12:$B$14,0)),2)</f>
        <v>0</v>
      </c>
      <c r="E14" s="4">
        <f>ROUND(INDEX(TFN_REF!$D$12:$D$14,MATCH(B14,TFN_REF!$B$12:$B$14,0)),2)</f>
        <v>0</v>
      </c>
      <c r="F14" s="4">
        <f>ROUND(INDEX(TFN_REF!$E$12:$E$14,MATCH(B14,TFN_REF!$B$12:$B$14,0)),2)</f>
        <v>0.5</v>
      </c>
      <c r="G14" s="4">
        <f>ROUND(INDEX(TFN_REF!$C$12:$C$14,MATCH(C14,TFN_REF!$B$12:$B$14,0)),2)</f>
        <v>0</v>
      </c>
      <c r="H14" s="4">
        <f>ROUND(INDEX(TFN_REF!$D$12:$D$14,MATCH(C14,TFN_REF!$B$12:$B$14,0)),2)</f>
        <v>0.5</v>
      </c>
      <c r="I14" s="4">
        <f>ROUND(INDEX(TFN_REF!$E$12:$E$14,MATCH(C14,TFN_REF!$B$12:$B$14,0)),2)</f>
        <v>1</v>
      </c>
      <c r="J14" s="4">
        <f t="shared" si="0"/>
        <v>0</v>
      </c>
      <c r="K14" s="4">
        <f t="shared" si="1"/>
        <v>0.25</v>
      </c>
      <c r="L14" s="4">
        <f t="shared" si="2"/>
        <v>0.75</v>
      </c>
      <c r="M14" s="4">
        <f t="shared" si="3"/>
        <v>0.33</v>
      </c>
      <c r="N14" s="4">
        <f t="shared" si="4"/>
        <v>1.66</v>
      </c>
      <c r="O14" s="9">
        <f t="shared" si="5"/>
        <v>2</v>
      </c>
      <c r="P14" s="8" t="str">
        <f>INDEX(TFN_REF!$F$12:$F$14,MATCH(O14,TFN_REF!$B$12:$B$14,0))</f>
        <v>Issue</v>
      </c>
    </row>
    <row r="15" spans="1:16" ht="18" customHeight="1" x14ac:dyDescent="0.25">
      <c r="A15" s="10" t="s">
        <v>112</v>
      </c>
      <c r="B15" s="6">
        <v>1</v>
      </c>
      <c r="C15" s="6">
        <v>2</v>
      </c>
      <c r="D15" s="7">
        <f>ROUND(INDEX(TFN_REF!$C$12:$C$14,MATCH(B15,TFN_REF!$B$12:$B$14,0)),2)</f>
        <v>0</v>
      </c>
      <c r="E15" s="7">
        <f>ROUND(INDEX(TFN_REF!$D$12:$D$14,MATCH(B15,TFN_REF!$B$12:$B$14,0)),2)</f>
        <v>0</v>
      </c>
      <c r="F15" s="7">
        <f>ROUND(INDEX(TFN_REF!$E$12:$E$14,MATCH(B15,TFN_REF!$B$12:$B$14,0)),2)</f>
        <v>0.5</v>
      </c>
      <c r="G15" s="7">
        <f>ROUND(INDEX(TFN_REF!$C$12:$C$14,MATCH(C15,TFN_REF!$B$12:$B$14,0)),2)</f>
        <v>0</v>
      </c>
      <c r="H15" s="7">
        <f>ROUND(INDEX(TFN_REF!$D$12:$D$14,MATCH(C15,TFN_REF!$B$12:$B$14,0)),2)</f>
        <v>0.5</v>
      </c>
      <c r="I15" s="7">
        <f>ROUND(INDEX(TFN_REF!$E$12:$E$14,MATCH(C15,TFN_REF!$B$12:$B$14,0)),2)</f>
        <v>1</v>
      </c>
      <c r="J15" s="7">
        <f t="shared" si="0"/>
        <v>0</v>
      </c>
      <c r="K15" s="7">
        <f t="shared" si="1"/>
        <v>0.25</v>
      </c>
      <c r="L15" s="7">
        <f t="shared" si="2"/>
        <v>0.75</v>
      </c>
      <c r="M15" s="7">
        <f t="shared" si="3"/>
        <v>0.33</v>
      </c>
      <c r="N15" s="7">
        <f t="shared" si="4"/>
        <v>1.66</v>
      </c>
      <c r="O15" s="9">
        <f t="shared" si="5"/>
        <v>2</v>
      </c>
      <c r="P15" s="10" t="str">
        <f>INDEX(TFN_REF!$F$12:$F$14,MATCH(O15,TFN_REF!$B$12:$B$14,0))</f>
        <v>Issue</v>
      </c>
    </row>
    <row r="16" spans="1:16" ht="18" customHeight="1" x14ac:dyDescent="0.25">
      <c r="A16" s="8" t="s">
        <v>113</v>
      </c>
      <c r="B16" s="3">
        <v>2</v>
      </c>
      <c r="C16" s="3">
        <v>1</v>
      </c>
      <c r="D16" s="4">
        <f>ROUND(INDEX(TFN_REF!$C$12:$C$14,MATCH(B16,TFN_REF!$B$12:$B$14,0)),2)</f>
        <v>0</v>
      </c>
      <c r="E16" s="4">
        <f>ROUND(INDEX(TFN_REF!$D$12:$D$14,MATCH(B16,TFN_REF!$B$12:$B$14,0)),2)</f>
        <v>0.5</v>
      </c>
      <c r="F16" s="4">
        <f>ROUND(INDEX(TFN_REF!$E$12:$E$14,MATCH(B16,TFN_REF!$B$12:$B$14,0)),2)</f>
        <v>1</v>
      </c>
      <c r="G16" s="4">
        <f>ROUND(INDEX(TFN_REF!$C$12:$C$14,MATCH(C16,TFN_REF!$B$12:$B$14,0)),2)</f>
        <v>0</v>
      </c>
      <c r="H16" s="4">
        <f>ROUND(INDEX(TFN_REF!$D$12:$D$14,MATCH(C16,TFN_REF!$B$12:$B$14,0)),2)</f>
        <v>0</v>
      </c>
      <c r="I16" s="4">
        <f>ROUND(INDEX(TFN_REF!$E$12:$E$14,MATCH(C16,TFN_REF!$B$12:$B$14,0)),2)</f>
        <v>0.5</v>
      </c>
      <c r="J16" s="4">
        <f t="shared" si="0"/>
        <v>0</v>
      </c>
      <c r="K16" s="4">
        <f t="shared" si="1"/>
        <v>0.25</v>
      </c>
      <c r="L16" s="4">
        <f t="shared" si="2"/>
        <v>0.75</v>
      </c>
      <c r="M16" s="4">
        <f t="shared" si="3"/>
        <v>0.33</v>
      </c>
      <c r="N16" s="4">
        <f t="shared" si="4"/>
        <v>1.66</v>
      </c>
      <c r="O16" s="9">
        <f t="shared" si="5"/>
        <v>2</v>
      </c>
      <c r="P16" s="8" t="str">
        <f>INDEX(TFN_REF!$F$12:$F$14,MATCH(O16,TFN_REF!$B$12:$B$14,0))</f>
        <v>Issue</v>
      </c>
    </row>
    <row r="17" spans="1:16" ht="18" customHeight="1" x14ac:dyDescent="0.25">
      <c r="A17" s="10" t="s">
        <v>114</v>
      </c>
      <c r="B17" s="6">
        <v>2</v>
      </c>
      <c r="C17" s="6">
        <v>2</v>
      </c>
      <c r="D17" s="7">
        <f>ROUND(INDEX(TFN_REF!$C$12:$C$14,MATCH(B17,TFN_REF!$B$12:$B$14,0)),2)</f>
        <v>0</v>
      </c>
      <c r="E17" s="7">
        <f>ROUND(INDEX(TFN_REF!$D$12:$D$14,MATCH(B17,TFN_REF!$B$12:$B$14,0)),2)</f>
        <v>0.5</v>
      </c>
      <c r="F17" s="7">
        <f>ROUND(INDEX(TFN_REF!$E$12:$E$14,MATCH(B17,TFN_REF!$B$12:$B$14,0)),2)</f>
        <v>1</v>
      </c>
      <c r="G17" s="7">
        <f>ROUND(INDEX(TFN_REF!$C$12:$C$14,MATCH(C17,TFN_REF!$B$12:$B$14,0)),2)</f>
        <v>0</v>
      </c>
      <c r="H17" s="7">
        <f>ROUND(INDEX(TFN_REF!$D$12:$D$14,MATCH(C17,TFN_REF!$B$12:$B$14,0)),2)</f>
        <v>0.5</v>
      </c>
      <c r="I17" s="7">
        <f>ROUND(INDEX(TFN_REF!$E$12:$E$14,MATCH(C17,TFN_REF!$B$12:$B$14,0)),2)</f>
        <v>1</v>
      </c>
      <c r="J17" s="7">
        <f t="shared" si="0"/>
        <v>0</v>
      </c>
      <c r="K17" s="7">
        <f t="shared" si="1"/>
        <v>0.5</v>
      </c>
      <c r="L17" s="7">
        <f t="shared" si="2"/>
        <v>1</v>
      </c>
      <c r="M17" s="7">
        <f t="shared" si="3"/>
        <v>0.5</v>
      </c>
      <c r="N17" s="7">
        <f t="shared" si="4"/>
        <v>2</v>
      </c>
      <c r="O17" s="9">
        <f t="shared" si="5"/>
        <v>2</v>
      </c>
      <c r="P17" s="10" t="str">
        <f>INDEX(TFN_REF!$F$12:$F$14,MATCH(O17,TFN_REF!$B$12:$B$14,0))</f>
        <v>Issue</v>
      </c>
    </row>
    <row r="18" spans="1:16" ht="18" customHeight="1" x14ac:dyDescent="0.25">
      <c r="A18" s="8" t="s">
        <v>115</v>
      </c>
      <c r="B18" s="3">
        <v>1</v>
      </c>
      <c r="C18" s="3">
        <v>2</v>
      </c>
      <c r="D18" s="4">
        <f>ROUND(INDEX(TFN_REF!$C$12:$C$14,MATCH(B18,TFN_REF!$B$12:$B$14,0)),2)</f>
        <v>0</v>
      </c>
      <c r="E18" s="4">
        <f>ROUND(INDEX(TFN_REF!$D$12:$D$14,MATCH(B18,TFN_REF!$B$12:$B$14,0)),2)</f>
        <v>0</v>
      </c>
      <c r="F18" s="4">
        <f>ROUND(INDEX(TFN_REF!$E$12:$E$14,MATCH(B18,TFN_REF!$B$12:$B$14,0)),2)</f>
        <v>0.5</v>
      </c>
      <c r="G18" s="4">
        <f>ROUND(INDEX(TFN_REF!$C$12:$C$14,MATCH(C18,TFN_REF!$B$12:$B$14,0)),2)</f>
        <v>0</v>
      </c>
      <c r="H18" s="4">
        <f>ROUND(INDEX(TFN_REF!$D$12:$D$14,MATCH(C18,TFN_REF!$B$12:$B$14,0)),2)</f>
        <v>0.5</v>
      </c>
      <c r="I18" s="4">
        <f>ROUND(INDEX(TFN_REF!$E$12:$E$14,MATCH(C18,TFN_REF!$B$12:$B$14,0)),2)</f>
        <v>1</v>
      </c>
      <c r="J18" s="4">
        <f t="shared" si="0"/>
        <v>0</v>
      </c>
      <c r="K18" s="4">
        <f t="shared" si="1"/>
        <v>0.25</v>
      </c>
      <c r="L18" s="4">
        <f t="shared" si="2"/>
        <v>0.75</v>
      </c>
      <c r="M18" s="4">
        <f t="shared" si="3"/>
        <v>0.33</v>
      </c>
      <c r="N18" s="4">
        <f t="shared" si="4"/>
        <v>1.66</v>
      </c>
      <c r="O18" s="9">
        <f t="shared" si="5"/>
        <v>2</v>
      </c>
      <c r="P18" s="8" t="str">
        <f>INDEX(TFN_REF!$F$12:$F$14,MATCH(O18,TFN_REF!$B$12:$B$14,0))</f>
        <v>Issue</v>
      </c>
    </row>
    <row r="19" spans="1:16" ht="18" customHeight="1" x14ac:dyDescent="0.25">
      <c r="A19" s="10" t="s">
        <v>116</v>
      </c>
      <c r="B19" s="6">
        <v>1</v>
      </c>
      <c r="C19" s="6">
        <v>2</v>
      </c>
      <c r="D19" s="7">
        <f>ROUND(INDEX(TFN_REF!$C$12:$C$14,MATCH(B19,TFN_REF!$B$12:$B$14,0)),2)</f>
        <v>0</v>
      </c>
      <c r="E19" s="7">
        <f>ROUND(INDEX(TFN_REF!$D$12:$D$14,MATCH(B19,TFN_REF!$B$12:$B$14,0)),2)</f>
        <v>0</v>
      </c>
      <c r="F19" s="7">
        <f>ROUND(INDEX(TFN_REF!$E$12:$E$14,MATCH(B19,TFN_REF!$B$12:$B$14,0)),2)</f>
        <v>0.5</v>
      </c>
      <c r="G19" s="7">
        <f>ROUND(INDEX(TFN_REF!$C$12:$C$14,MATCH(C19,TFN_REF!$B$12:$B$14,0)),2)</f>
        <v>0</v>
      </c>
      <c r="H19" s="7">
        <f>ROUND(INDEX(TFN_REF!$D$12:$D$14,MATCH(C19,TFN_REF!$B$12:$B$14,0)),2)</f>
        <v>0.5</v>
      </c>
      <c r="I19" s="7">
        <f>ROUND(INDEX(TFN_REF!$E$12:$E$14,MATCH(C19,TFN_REF!$B$12:$B$14,0)),2)</f>
        <v>1</v>
      </c>
      <c r="J19" s="7">
        <f t="shared" si="0"/>
        <v>0</v>
      </c>
      <c r="K19" s="7">
        <f t="shared" si="1"/>
        <v>0.25</v>
      </c>
      <c r="L19" s="7">
        <f t="shared" si="2"/>
        <v>0.75</v>
      </c>
      <c r="M19" s="7">
        <f t="shared" si="3"/>
        <v>0.33</v>
      </c>
      <c r="N19" s="7">
        <f t="shared" si="4"/>
        <v>1.66</v>
      </c>
      <c r="O19" s="9">
        <f t="shared" si="5"/>
        <v>2</v>
      </c>
      <c r="P19" s="10" t="str">
        <f>INDEX(TFN_REF!$F$12:$F$14,MATCH(O19,TFN_REF!$B$12:$B$14,0))</f>
        <v>Issue</v>
      </c>
    </row>
    <row r="20" spans="1:16" ht="18" customHeight="1" x14ac:dyDescent="0.25">
      <c r="A20" s="8" t="s">
        <v>117</v>
      </c>
      <c r="B20" s="3">
        <v>1</v>
      </c>
      <c r="C20" s="3">
        <v>2</v>
      </c>
      <c r="D20" s="4">
        <f>ROUND(INDEX(TFN_REF!$C$12:$C$14,MATCH(B20,TFN_REF!$B$12:$B$14,0)),2)</f>
        <v>0</v>
      </c>
      <c r="E20" s="4">
        <f>ROUND(INDEX(TFN_REF!$D$12:$D$14,MATCH(B20,TFN_REF!$B$12:$B$14,0)),2)</f>
        <v>0</v>
      </c>
      <c r="F20" s="4">
        <f>ROUND(INDEX(TFN_REF!$E$12:$E$14,MATCH(B20,TFN_REF!$B$12:$B$14,0)),2)</f>
        <v>0.5</v>
      </c>
      <c r="G20" s="4">
        <f>ROUND(INDEX(TFN_REF!$C$12:$C$14,MATCH(C20,TFN_REF!$B$12:$B$14,0)),2)</f>
        <v>0</v>
      </c>
      <c r="H20" s="4">
        <f>ROUND(INDEX(TFN_REF!$D$12:$D$14,MATCH(C20,TFN_REF!$B$12:$B$14,0)),2)</f>
        <v>0.5</v>
      </c>
      <c r="I20" s="4">
        <f>ROUND(INDEX(TFN_REF!$E$12:$E$14,MATCH(C20,TFN_REF!$B$12:$B$14,0)),2)</f>
        <v>1</v>
      </c>
      <c r="J20" s="4">
        <f t="shared" si="0"/>
        <v>0</v>
      </c>
      <c r="K20" s="4">
        <f t="shared" si="1"/>
        <v>0.25</v>
      </c>
      <c r="L20" s="4">
        <f t="shared" si="2"/>
        <v>0.75</v>
      </c>
      <c r="M20" s="4">
        <f t="shared" si="3"/>
        <v>0.33</v>
      </c>
      <c r="N20" s="4">
        <f t="shared" si="4"/>
        <v>1.66</v>
      </c>
      <c r="O20" s="9">
        <f t="shared" si="5"/>
        <v>2</v>
      </c>
      <c r="P20" s="8" t="str">
        <f>INDEX(TFN_REF!$F$12:$F$14,MATCH(O20,TFN_REF!$B$12:$B$14,0))</f>
        <v>Issue</v>
      </c>
    </row>
    <row r="21" spans="1:16" ht="18" customHeight="1" x14ac:dyDescent="0.25">
      <c r="A21" s="10" t="s">
        <v>118</v>
      </c>
      <c r="B21" s="6">
        <v>2</v>
      </c>
      <c r="C21" s="6">
        <v>2</v>
      </c>
      <c r="D21" s="7">
        <f>ROUND(INDEX(TFN_REF!$C$12:$C$14,MATCH(B21,TFN_REF!$B$12:$B$14,0)),2)</f>
        <v>0</v>
      </c>
      <c r="E21" s="7">
        <f>ROUND(INDEX(TFN_REF!$D$12:$D$14,MATCH(B21,TFN_REF!$B$12:$B$14,0)),2)</f>
        <v>0.5</v>
      </c>
      <c r="F21" s="7">
        <f>ROUND(INDEX(TFN_REF!$E$12:$E$14,MATCH(B21,TFN_REF!$B$12:$B$14,0)),2)</f>
        <v>1</v>
      </c>
      <c r="G21" s="7">
        <f>ROUND(INDEX(TFN_REF!$C$12:$C$14,MATCH(C21,TFN_REF!$B$12:$B$14,0)),2)</f>
        <v>0</v>
      </c>
      <c r="H21" s="7">
        <f>ROUND(INDEX(TFN_REF!$D$12:$D$14,MATCH(C21,TFN_REF!$B$12:$B$14,0)),2)</f>
        <v>0.5</v>
      </c>
      <c r="I21" s="7">
        <f>ROUND(INDEX(TFN_REF!$E$12:$E$14,MATCH(C21,TFN_REF!$B$12:$B$14,0)),2)</f>
        <v>1</v>
      </c>
      <c r="J21" s="7">
        <f t="shared" si="0"/>
        <v>0</v>
      </c>
      <c r="K21" s="7">
        <f t="shared" si="1"/>
        <v>0.5</v>
      </c>
      <c r="L21" s="7">
        <f t="shared" si="2"/>
        <v>1</v>
      </c>
      <c r="M21" s="7">
        <f t="shared" si="3"/>
        <v>0.5</v>
      </c>
      <c r="N21" s="7">
        <f t="shared" si="4"/>
        <v>2</v>
      </c>
      <c r="O21" s="9">
        <f t="shared" si="5"/>
        <v>2</v>
      </c>
      <c r="P21" s="10" t="str">
        <f>INDEX(TFN_REF!$F$12:$F$14,MATCH(O21,TFN_REF!$B$12:$B$14,0))</f>
        <v>Issue</v>
      </c>
    </row>
    <row r="22" spans="1:16" ht="18" customHeight="1" x14ac:dyDescent="0.25">
      <c r="A22" s="8" t="s">
        <v>119</v>
      </c>
      <c r="B22" s="3">
        <v>1</v>
      </c>
      <c r="C22" s="3">
        <v>2</v>
      </c>
      <c r="D22" s="4">
        <f>ROUND(INDEX(TFN_REF!$C$12:$C$14,MATCH(B22,TFN_REF!$B$12:$B$14,0)),2)</f>
        <v>0</v>
      </c>
      <c r="E22" s="4">
        <f>ROUND(INDEX(TFN_REF!$D$12:$D$14,MATCH(B22,TFN_REF!$B$12:$B$14,0)),2)</f>
        <v>0</v>
      </c>
      <c r="F22" s="4">
        <f>ROUND(INDEX(TFN_REF!$E$12:$E$14,MATCH(B22,TFN_REF!$B$12:$B$14,0)),2)</f>
        <v>0.5</v>
      </c>
      <c r="G22" s="4">
        <f>ROUND(INDEX(TFN_REF!$C$12:$C$14,MATCH(C22,TFN_REF!$B$12:$B$14,0)),2)</f>
        <v>0</v>
      </c>
      <c r="H22" s="4">
        <f>ROUND(INDEX(TFN_REF!$D$12:$D$14,MATCH(C22,TFN_REF!$B$12:$B$14,0)),2)</f>
        <v>0.5</v>
      </c>
      <c r="I22" s="4">
        <f>ROUND(INDEX(TFN_REF!$E$12:$E$14,MATCH(C22,TFN_REF!$B$12:$B$14,0)),2)</f>
        <v>1</v>
      </c>
      <c r="J22" s="4">
        <f t="shared" si="0"/>
        <v>0</v>
      </c>
      <c r="K22" s="4">
        <f t="shared" si="1"/>
        <v>0.25</v>
      </c>
      <c r="L22" s="4">
        <f t="shared" si="2"/>
        <v>0.75</v>
      </c>
      <c r="M22" s="4">
        <f t="shared" si="3"/>
        <v>0.33</v>
      </c>
      <c r="N22" s="4">
        <f t="shared" si="4"/>
        <v>1.66</v>
      </c>
      <c r="O22" s="9">
        <f t="shared" si="5"/>
        <v>2</v>
      </c>
      <c r="P22" s="8" t="str">
        <f>INDEX(TFN_REF!$F$12:$F$14,MATCH(O22,TFN_REF!$B$12:$B$14,0))</f>
        <v>Issue</v>
      </c>
    </row>
    <row r="23" spans="1:16" ht="18" customHeight="1" x14ac:dyDescent="0.25">
      <c r="A23" s="10" t="s">
        <v>120</v>
      </c>
      <c r="B23" s="6">
        <v>1</v>
      </c>
      <c r="C23" s="6">
        <v>2</v>
      </c>
      <c r="D23" s="7">
        <f>ROUND(INDEX(TFN_REF!$C$12:$C$14,MATCH(B23,TFN_REF!$B$12:$B$14,0)),2)</f>
        <v>0</v>
      </c>
      <c r="E23" s="7">
        <f>ROUND(INDEX(TFN_REF!$D$12:$D$14,MATCH(B23,TFN_REF!$B$12:$B$14,0)),2)</f>
        <v>0</v>
      </c>
      <c r="F23" s="7">
        <f>ROUND(INDEX(TFN_REF!$E$12:$E$14,MATCH(B23,TFN_REF!$B$12:$B$14,0)),2)</f>
        <v>0.5</v>
      </c>
      <c r="G23" s="7">
        <f>ROUND(INDEX(TFN_REF!$C$12:$C$14,MATCH(C23,TFN_REF!$B$12:$B$14,0)),2)</f>
        <v>0</v>
      </c>
      <c r="H23" s="7">
        <f>ROUND(INDEX(TFN_REF!$D$12:$D$14,MATCH(C23,TFN_REF!$B$12:$B$14,0)),2)</f>
        <v>0.5</v>
      </c>
      <c r="I23" s="7">
        <f>ROUND(INDEX(TFN_REF!$E$12:$E$14,MATCH(C23,TFN_REF!$B$12:$B$14,0)),2)</f>
        <v>1</v>
      </c>
      <c r="J23" s="7">
        <f t="shared" si="0"/>
        <v>0</v>
      </c>
      <c r="K23" s="7">
        <f t="shared" si="1"/>
        <v>0.25</v>
      </c>
      <c r="L23" s="7">
        <f t="shared" si="2"/>
        <v>0.75</v>
      </c>
      <c r="M23" s="7">
        <f t="shared" si="3"/>
        <v>0.33</v>
      </c>
      <c r="N23" s="7">
        <f t="shared" si="4"/>
        <v>1.66</v>
      </c>
      <c r="O23" s="9">
        <f t="shared" si="5"/>
        <v>2</v>
      </c>
      <c r="P23" s="10" t="str">
        <f>INDEX(TFN_REF!$F$12:$F$14,MATCH(O23,TFN_REF!$B$12:$B$14,0))</f>
        <v>Issue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sqref="A1:E1"/>
    </sheetView>
  </sheetViews>
  <sheetFormatPr defaultRowHeight="15" x14ac:dyDescent="0.25"/>
  <cols>
    <col min="1" max="1" width="35" customWidth="1"/>
    <col min="2" max="3" width="12" customWidth="1"/>
    <col min="4" max="4" width="14" customWidth="1"/>
    <col min="5" max="5" width="20" customWidth="1"/>
  </cols>
  <sheetData>
    <row r="1" spans="1:5" ht="21.95" customHeight="1" x14ac:dyDescent="0.25">
      <c r="A1" s="26" t="s">
        <v>121</v>
      </c>
      <c r="B1" s="27"/>
      <c r="C1" s="27"/>
      <c r="D1" s="27"/>
      <c r="E1" s="27"/>
    </row>
    <row r="2" spans="1:5" ht="30" customHeight="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43</v>
      </c>
    </row>
    <row r="3" spans="1:5" ht="18" customHeight="1" x14ac:dyDescent="0.25">
      <c r="A3" s="8" t="s">
        <v>126</v>
      </c>
      <c r="B3" s="3">
        <v>70</v>
      </c>
      <c r="C3" s="3">
        <v>100</v>
      </c>
      <c r="D3" s="3">
        <f>(B3+C3)/2</f>
        <v>85</v>
      </c>
      <c r="E3" s="8" t="str">
        <f>IF(D3=0,"Tidak Dipilih",IF(D3=MAX(D3:D4),"▶ Dominan",IF(D3&gt;=75,"Sangat Tinggi",IF(D3&gt;=50,"Tinggi","Sedang/Rendah"))))</f>
        <v>▶ Dominan</v>
      </c>
    </row>
    <row r="4" spans="1:5" ht="18" customHeight="1" x14ac:dyDescent="0.25">
      <c r="A4" s="10" t="s">
        <v>127</v>
      </c>
      <c r="B4" s="6">
        <v>30</v>
      </c>
      <c r="C4" s="6">
        <v>0</v>
      </c>
      <c r="D4" s="6">
        <f>(B4+C4)/2</f>
        <v>15</v>
      </c>
      <c r="E4" s="10" t="str">
        <f>IF(D4=0,"Tidak Dipilih",IF(D4=MAX(D3:D4),"▶ Dominan",IF(D4&gt;=75,"Sangat Tinggi",IF(D4&gt;=50,"Tinggi","Sedang/Rendah"))))</f>
        <v>Sedang/Rendah</v>
      </c>
    </row>
    <row r="5" spans="1:5" ht="18" customHeight="1" x14ac:dyDescent="0.25">
      <c r="A5" s="21" t="s">
        <v>128</v>
      </c>
      <c r="B5" s="22">
        <f>SUM(B3:B4)</f>
        <v>100</v>
      </c>
      <c r="C5" s="22">
        <f>SUM(C3:C4)</f>
        <v>100</v>
      </c>
      <c r="D5" s="22">
        <f>SUM(D3:D4)</f>
        <v>100</v>
      </c>
      <c r="E5" s="21" t="s">
        <v>129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sqref="A1:E1"/>
    </sheetView>
  </sheetViews>
  <sheetFormatPr defaultRowHeight="15" x14ac:dyDescent="0.25"/>
  <cols>
    <col min="1" max="1" width="35" customWidth="1"/>
    <col min="2" max="3" width="12" customWidth="1"/>
    <col min="4" max="4" width="14" customWidth="1"/>
    <col min="5" max="5" width="20" customWidth="1"/>
  </cols>
  <sheetData>
    <row r="1" spans="1:5" ht="21.95" customHeight="1" x14ac:dyDescent="0.25">
      <c r="A1" s="26" t="s">
        <v>130</v>
      </c>
      <c r="B1" s="27"/>
      <c r="C1" s="27"/>
      <c r="D1" s="27"/>
      <c r="E1" s="27"/>
    </row>
    <row r="2" spans="1:5" ht="30" customHeight="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43</v>
      </c>
    </row>
    <row r="3" spans="1:5" ht="18" customHeight="1" x14ac:dyDescent="0.25">
      <c r="A3" s="8" t="s">
        <v>131</v>
      </c>
      <c r="B3" s="3">
        <v>100</v>
      </c>
      <c r="C3" s="3">
        <v>100</v>
      </c>
      <c r="D3" s="3">
        <f>(B3+C3)/2</f>
        <v>100</v>
      </c>
      <c r="E3" s="8" t="str">
        <f>IF(D3=0,"Tidak Dipilih",IF(D3=MAX(D3:D5),"▶ Dominan",IF(D3&gt;=75,"Sangat Tinggi",IF(D3&gt;=50,"Tinggi","Sedang/Rendah"))))</f>
        <v>▶ Dominan</v>
      </c>
    </row>
    <row r="4" spans="1:5" ht="18" customHeight="1" x14ac:dyDescent="0.25">
      <c r="A4" s="10" t="s">
        <v>132</v>
      </c>
      <c r="B4" s="6">
        <v>0</v>
      </c>
      <c r="C4" s="6">
        <v>0</v>
      </c>
      <c r="D4" s="6">
        <f>(B4+C4)/2</f>
        <v>0</v>
      </c>
      <c r="E4" s="10" t="str">
        <f>IF(D4=0,"Tidak Dipilih",IF(D4=MAX(D3:D5),"▶ Dominan",IF(D4&gt;=75,"Sangat Tinggi",IF(D4&gt;=50,"Tinggi","Sedang/Rendah"))))</f>
        <v>Tidak Dipilih</v>
      </c>
    </row>
    <row r="5" spans="1:5" ht="18" customHeight="1" x14ac:dyDescent="0.25">
      <c r="A5" s="8" t="s">
        <v>133</v>
      </c>
      <c r="B5" s="3">
        <v>0</v>
      </c>
      <c r="C5" s="3">
        <v>0</v>
      </c>
      <c r="D5" s="3">
        <f>(B5+C5)/2</f>
        <v>0</v>
      </c>
      <c r="E5" s="8" t="str">
        <f>IF(D5=0,"Tidak Dipilih",IF(D5=MAX(D3:D5),"▶ Dominan",IF(D5&gt;=75,"Sangat Tinggi",IF(D5&gt;=50,"Tinggi","Sedang/Rendah"))))</f>
        <v>Tidak Dipilih</v>
      </c>
    </row>
    <row r="6" spans="1:5" ht="18" customHeight="1" x14ac:dyDescent="0.25">
      <c r="A6" s="21" t="s">
        <v>128</v>
      </c>
      <c r="B6" s="22">
        <f>SUM(B3:B5)</f>
        <v>100</v>
      </c>
      <c r="C6" s="22">
        <f>SUM(C3:C5)</f>
        <v>100</v>
      </c>
      <c r="D6" s="22">
        <f>SUM(D3:D5)</f>
        <v>100</v>
      </c>
      <c r="E6" s="21" t="s">
        <v>129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topLeftCell="H3" workbookViewId="0">
      <selection activeCell="A6" sqref="A6"/>
    </sheetView>
  </sheetViews>
  <sheetFormatPr defaultRowHeight="15" x14ac:dyDescent="0.25"/>
  <cols>
    <col min="1" max="1" width="36" customWidth="1"/>
    <col min="2" max="3" width="5" customWidth="1"/>
    <col min="4" max="9" width="6" customWidth="1"/>
    <col min="10" max="13" width="9" customWidth="1"/>
    <col min="14" max="15" width="10" customWidth="1"/>
    <col min="16" max="16" width="18" customWidth="1"/>
  </cols>
  <sheetData>
    <row r="1" spans="1:16" ht="21.95" customHeight="1" x14ac:dyDescent="0.25">
      <c r="A1" s="26" t="s">
        <v>134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8" customHeight="1" x14ac:dyDescent="0.25">
      <c r="A2" s="28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30" customHeight="1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</row>
    <row r="4" spans="1:16" ht="18" customHeight="1" x14ac:dyDescent="0.25">
      <c r="A4" s="8" t="s">
        <v>135</v>
      </c>
      <c r="B4" s="3">
        <v>1</v>
      </c>
      <c r="C4" s="3">
        <v>1</v>
      </c>
      <c r="D4" s="4">
        <f>ROUND(INDEX(TFN_REF!$C$4:$C$8,MATCH(B4,TFN_REF!$B$4:$B$8,0)),2)</f>
        <v>0</v>
      </c>
      <c r="E4" s="4">
        <f>ROUND(INDEX(TFN_REF!$D$4:$D$8,MATCH(B4,TFN_REF!$B$4:$B$8,0)),2)</f>
        <v>0</v>
      </c>
      <c r="F4" s="4">
        <f>ROUND(INDEX(TFN_REF!$E$4:$E$8,MATCH(B4,TFN_REF!$B$4:$B$8,0)),2)</f>
        <v>0.25</v>
      </c>
      <c r="G4" s="4">
        <f>ROUND(INDEX(TFN_REF!$C$4:$C$8,MATCH(C4,TFN_REF!$B$4:$B$8,0)),2)</f>
        <v>0</v>
      </c>
      <c r="H4" s="4">
        <f>ROUND(INDEX(TFN_REF!$D$4:$D$8,MATCH(C4,TFN_REF!$B$4:$B$8,0)),2)</f>
        <v>0</v>
      </c>
      <c r="I4" s="4">
        <f>ROUND(INDEX(TFN_REF!$E$4:$E$8,MATCH(C4,TFN_REF!$B$4:$B$8,0)),2)</f>
        <v>0.25</v>
      </c>
      <c r="J4" s="4">
        <f t="shared" ref="J4:L7" si="0">ROUND((D4+G4)/2,2)</f>
        <v>0</v>
      </c>
      <c r="K4" s="4">
        <f t="shared" si="0"/>
        <v>0</v>
      </c>
      <c r="L4" s="4">
        <f t="shared" si="0"/>
        <v>0.25</v>
      </c>
      <c r="M4" s="4">
        <f>ROUND((J4+K4+L4)/3,2)</f>
        <v>0.08</v>
      </c>
      <c r="N4" s="4">
        <f>ROUND(1+(M4*4),2)</f>
        <v>1.32</v>
      </c>
      <c r="O4" s="9">
        <f>ROUND(N4,0)</f>
        <v>1</v>
      </c>
      <c r="P4" s="8" t="str">
        <f>INDEX(TFN_REF!$F$4:$F$8,MATCH(O4,TFN_REF!$B$4:$B$8,0))</f>
        <v>Sangat Rendah</v>
      </c>
    </row>
    <row r="5" spans="1:16" ht="18" customHeight="1" x14ac:dyDescent="0.25">
      <c r="A5" s="10" t="s">
        <v>136</v>
      </c>
      <c r="B5" s="6">
        <v>1</v>
      </c>
      <c r="C5" s="6">
        <v>1</v>
      </c>
      <c r="D5" s="7">
        <f>ROUND(INDEX(TFN_REF!$C$4:$C$8,MATCH(B5,TFN_REF!$B$4:$B$8,0)),2)</f>
        <v>0</v>
      </c>
      <c r="E5" s="7">
        <f>ROUND(INDEX(TFN_REF!$D$4:$D$8,MATCH(B5,TFN_REF!$B$4:$B$8,0)),2)</f>
        <v>0</v>
      </c>
      <c r="F5" s="7">
        <f>ROUND(INDEX(TFN_REF!$E$4:$E$8,MATCH(B5,TFN_REF!$B$4:$B$8,0)),2)</f>
        <v>0.25</v>
      </c>
      <c r="G5" s="7">
        <f>ROUND(INDEX(TFN_REF!$C$4:$C$8,MATCH(C5,TFN_REF!$B$4:$B$8,0)),2)</f>
        <v>0</v>
      </c>
      <c r="H5" s="7">
        <f>ROUND(INDEX(TFN_REF!$D$4:$D$8,MATCH(C5,TFN_REF!$B$4:$B$8,0)),2)</f>
        <v>0</v>
      </c>
      <c r="I5" s="7">
        <f>ROUND(INDEX(TFN_REF!$E$4:$E$8,MATCH(C5,TFN_REF!$B$4:$B$8,0)),2)</f>
        <v>0.25</v>
      </c>
      <c r="J5" s="7">
        <f t="shared" si="0"/>
        <v>0</v>
      </c>
      <c r="K5" s="7">
        <f t="shared" si="0"/>
        <v>0</v>
      </c>
      <c r="L5" s="7">
        <f t="shared" si="0"/>
        <v>0.25</v>
      </c>
      <c r="M5" s="7">
        <f>ROUND((J5+K5+L5)/3,2)</f>
        <v>0.08</v>
      </c>
      <c r="N5" s="7">
        <f>ROUND(1+(M5*4),2)</f>
        <v>1.32</v>
      </c>
      <c r="O5" s="9">
        <f>ROUND(N5,0)</f>
        <v>1</v>
      </c>
      <c r="P5" s="10" t="str">
        <f>INDEX(TFN_REF!$F$4:$F$8,MATCH(O5,TFN_REF!$B$4:$B$8,0))</f>
        <v>Sangat Rendah</v>
      </c>
    </row>
    <row r="6" spans="1:16" ht="18" customHeight="1" x14ac:dyDescent="0.25">
      <c r="A6" s="8" t="s">
        <v>137</v>
      </c>
      <c r="B6" s="3">
        <v>4</v>
      </c>
      <c r="C6" s="3">
        <v>4</v>
      </c>
      <c r="D6" s="4">
        <f>ROUND(INDEX(TFN_REF!$C$4:$C$8,MATCH(B6,TFN_REF!$B$4:$B$8,0)),2)</f>
        <v>0.5</v>
      </c>
      <c r="E6" s="4">
        <f>ROUND(INDEX(TFN_REF!$D$4:$D$8,MATCH(B6,TFN_REF!$B$4:$B$8,0)),2)</f>
        <v>0.75</v>
      </c>
      <c r="F6" s="4">
        <f>ROUND(INDEX(TFN_REF!$E$4:$E$8,MATCH(B6,TFN_REF!$B$4:$B$8,0)),2)</f>
        <v>1</v>
      </c>
      <c r="G6" s="4">
        <f>ROUND(INDEX(TFN_REF!$C$4:$C$8,MATCH(C6,TFN_REF!$B$4:$B$8,0)),2)</f>
        <v>0.5</v>
      </c>
      <c r="H6" s="4">
        <f>ROUND(INDEX(TFN_REF!$D$4:$D$8,MATCH(C6,TFN_REF!$B$4:$B$8,0)),2)</f>
        <v>0.75</v>
      </c>
      <c r="I6" s="4">
        <f>ROUND(INDEX(TFN_REF!$E$4:$E$8,MATCH(C6,TFN_REF!$B$4:$B$8,0)),2)</f>
        <v>1</v>
      </c>
      <c r="J6" s="4">
        <f t="shared" si="0"/>
        <v>0.5</v>
      </c>
      <c r="K6" s="4">
        <f t="shared" si="0"/>
        <v>0.75</v>
      </c>
      <c r="L6" s="4">
        <f t="shared" si="0"/>
        <v>1</v>
      </c>
      <c r="M6" s="4">
        <f>ROUND((J6+K6+L6)/3,2)</f>
        <v>0.75</v>
      </c>
      <c r="N6" s="4">
        <f>ROUND(1+(M6*4),2)</f>
        <v>4</v>
      </c>
      <c r="O6" s="9">
        <f>ROUND(N6,0)</f>
        <v>4</v>
      </c>
      <c r="P6" s="8" t="str">
        <f>INDEX(TFN_REF!$F$4:$F$8,MATCH(O6,TFN_REF!$B$4:$B$8,0))</f>
        <v>Tinggi</v>
      </c>
    </row>
    <row r="7" spans="1:16" ht="18" customHeight="1" x14ac:dyDescent="0.25">
      <c r="A7" s="10" t="s">
        <v>138</v>
      </c>
      <c r="B7" s="6">
        <v>5</v>
      </c>
      <c r="C7" s="6">
        <v>5</v>
      </c>
      <c r="D7" s="7">
        <f>ROUND(INDEX(TFN_REF!$C$4:$C$8,MATCH(B7,TFN_REF!$B$4:$B$8,0)),2)</f>
        <v>0.75</v>
      </c>
      <c r="E7" s="7">
        <f>ROUND(INDEX(TFN_REF!$D$4:$D$8,MATCH(B7,TFN_REF!$B$4:$B$8,0)),2)</f>
        <v>1</v>
      </c>
      <c r="F7" s="7">
        <f>ROUND(INDEX(TFN_REF!$E$4:$E$8,MATCH(B7,TFN_REF!$B$4:$B$8,0)),2)</f>
        <v>1</v>
      </c>
      <c r="G7" s="7">
        <f>ROUND(INDEX(TFN_REF!$C$4:$C$8,MATCH(C7,TFN_REF!$B$4:$B$8,0)),2)</f>
        <v>0.75</v>
      </c>
      <c r="H7" s="7">
        <f>ROUND(INDEX(TFN_REF!$D$4:$D$8,MATCH(C7,TFN_REF!$B$4:$B$8,0)),2)</f>
        <v>1</v>
      </c>
      <c r="I7" s="7">
        <f>ROUND(INDEX(TFN_REF!$E$4:$E$8,MATCH(C7,TFN_REF!$B$4:$B$8,0)),2)</f>
        <v>1</v>
      </c>
      <c r="J7" s="7">
        <f t="shared" si="0"/>
        <v>0.75</v>
      </c>
      <c r="K7" s="7">
        <f t="shared" si="0"/>
        <v>1</v>
      </c>
      <c r="L7" s="7">
        <f t="shared" si="0"/>
        <v>1</v>
      </c>
      <c r="M7" s="7">
        <f>ROUND((J7+K7+L7)/3,2)</f>
        <v>0.92</v>
      </c>
      <c r="N7" s="7">
        <f>ROUND(1+(M7*4),2)</f>
        <v>4.68</v>
      </c>
      <c r="O7" s="9">
        <f>ROUND(N7,0)</f>
        <v>5</v>
      </c>
      <c r="P7" s="10" t="str">
        <f>INDEX(TFN_REF!$F$4:$F$8,MATCH(O7,TFN_REF!$B$4:$B$8,0))</f>
        <v>Sangat Tinggi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D3" sqref="D3"/>
    </sheetView>
  </sheetViews>
  <sheetFormatPr defaultRowHeight="15" x14ac:dyDescent="0.25"/>
  <cols>
    <col min="1" max="1" width="35" customWidth="1"/>
    <col min="2" max="3" width="12" customWidth="1"/>
    <col min="4" max="4" width="14" customWidth="1"/>
    <col min="5" max="5" width="20" customWidth="1"/>
  </cols>
  <sheetData>
    <row r="1" spans="1:5" ht="21.95" customHeight="1" x14ac:dyDescent="0.25">
      <c r="A1" s="26" t="s">
        <v>139</v>
      </c>
      <c r="B1" s="27"/>
      <c r="C1" s="27"/>
      <c r="D1" s="27"/>
      <c r="E1" s="27"/>
    </row>
    <row r="2" spans="1:5" ht="30" customHeight="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43</v>
      </c>
    </row>
    <row r="3" spans="1:5" ht="18" customHeight="1" x14ac:dyDescent="0.25">
      <c r="A3" s="8" t="s">
        <v>140</v>
      </c>
      <c r="B3" s="3">
        <v>0</v>
      </c>
      <c r="C3" s="3">
        <v>5</v>
      </c>
      <c r="D3" s="23">
        <f>(B3+C3)/2</f>
        <v>2.5</v>
      </c>
      <c r="E3" s="8" t="str">
        <f>IF(D3=0,"Tidak Dipilih",IF(D3=MAX(D3:D5),"▶ Dominan",IF(D3&gt;=75,"Sangat Tinggi",IF(D3&gt;=50,"Tinggi","Sedang/Rendah"))))</f>
        <v>Sedang/Rendah</v>
      </c>
    </row>
    <row r="4" spans="1:5" ht="18" customHeight="1" x14ac:dyDescent="0.25">
      <c r="A4" s="10" t="s">
        <v>141</v>
      </c>
      <c r="B4" s="6">
        <v>30</v>
      </c>
      <c r="C4" s="6">
        <v>30</v>
      </c>
      <c r="D4" s="24">
        <f>(B4+C4)/2</f>
        <v>30</v>
      </c>
      <c r="E4" s="10" t="str">
        <f>IF(D4=0,"Tidak Dipilih",IF(D4=MAX(D3:D5),"▶ Dominan",IF(D4&gt;=75,"Sangat Tinggi",IF(D4&gt;=50,"Tinggi","Sedang/Rendah"))))</f>
        <v>Sedang/Rendah</v>
      </c>
    </row>
    <row r="5" spans="1:5" ht="18" customHeight="1" x14ac:dyDescent="0.25">
      <c r="A5" s="8" t="s">
        <v>142</v>
      </c>
      <c r="B5" s="3">
        <v>70</v>
      </c>
      <c r="C5" s="3">
        <v>65</v>
      </c>
      <c r="D5" s="23">
        <f>(B5+C5)/2</f>
        <v>67.5</v>
      </c>
      <c r="E5" s="8" t="str">
        <f>IF(D5=0,"Tidak Dipilih",IF(D5=MAX(D3:D5),"▶ Dominan",IF(D5&gt;=75,"Sangat Tinggi",IF(D5&gt;=50,"Tinggi","Sedang/Rendah"))))</f>
        <v>▶ Dominan</v>
      </c>
    </row>
    <row r="6" spans="1:5" ht="18" customHeight="1" x14ac:dyDescent="0.25">
      <c r="A6" s="21" t="s">
        <v>128</v>
      </c>
      <c r="B6" s="22">
        <f>SUM(B3:B5)</f>
        <v>100</v>
      </c>
      <c r="C6" s="22">
        <f>SUM(C3:C5)</f>
        <v>100</v>
      </c>
      <c r="D6" s="25">
        <f>SUM(D3:D5)</f>
        <v>100</v>
      </c>
      <c r="E6" s="21" t="s">
        <v>129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selection sqref="A1:E1"/>
    </sheetView>
  </sheetViews>
  <sheetFormatPr defaultRowHeight="15" x14ac:dyDescent="0.25"/>
  <cols>
    <col min="1" max="1" width="35" customWidth="1"/>
    <col min="2" max="3" width="12" customWidth="1"/>
    <col min="4" max="4" width="14" customWidth="1"/>
    <col min="5" max="5" width="20" customWidth="1"/>
  </cols>
  <sheetData>
    <row r="1" spans="1:5" ht="21.95" customHeight="1" x14ac:dyDescent="0.25">
      <c r="A1" s="26" t="s">
        <v>143</v>
      </c>
      <c r="B1" s="27"/>
      <c r="C1" s="27"/>
      <c r="D1" s="27"/>
      <c r="E1" s="27"/>
    </row>
    <row r="2" spans="1:5" ht="30" customHeight="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43</v>
      </c>
    </row>
    <row r="3" spans="1:5" ht="18" customHeight="1" x14ac:dyDescent="0.25">
      <c r="A3" s="8" t="s">
        <v>144</v>
      </c>
      <c r="B3" s="3">
        <v>0</v>
      </c>
      <c r="C3" s="3">
        <v>0</v>
      </c>
      <c r="D3" s="3">
        <f>(B3+C3)/2</f>
        <v>0</v>
      </c>
      <c r="E3" s="8" t="str">
        <f>IF(D3=0,"Tidak Dipilih",IF(D3=MAX(D3:D5),"▶ Dominan",IF(D3&gt;=75,"Sangat Tinggi",IF(D3&gt;=50,"Tinggi","Sedang/Rendah"))))</f>
        <v>Tidak Dipilih</v>
      </c>
    </row>
    <row r="4" spans="1:5" ht="18" customHeight="1" x14ac:dyDescent="0.25">
      <c r="A4" s="10" t="s">
        <v>145</v>
      </c>
      <c r="B4" s="6">
        <v>0</v>
      </c>
      <c r="C4" s="6">
        <v>100</v>
      </c>
      <c r="D4" s="6">
        <f>(B4+C4)/2</f>
        <v>50</v>
      </c>
      <c r="E4" s="10" t="str">
        <f>IF(D4=0,"Tidak Dipilih",IF(D4=MAX(D3:D5),"▶ Dominan",IF(D4&gt;=75,"Sangat Tinggi",IF(D4&gt;=50,"Tinggi","Sedang/Rendah"))))</f>
        <v>▶ Dominan</v>
      </c>
    </row>
    <row r="5" spans="1:5" ht="18" customHeight="1" x14ac:dyDescent="0.25">
      <c r="A5" s="8" t="s">
        <v>146</v>
      </c>
      <c r="B5" s="3">
        <v>100</v>
      </c>
      <c r="C5" s="3">
        <v>0</v>
      </c>
      <c r="D5" s="3">
        <f>(B5+C5)/2</f>
        <v>50</v>
      </c>
      <c r="E5" s="8" t="str">
        <f>IF(D5=0,"Tidak Dipilih",IF(D5=MAX(D3:D5),"▶ Dominan",IF(D5&gt;=75,"Sangat Tinggi",IF(D5&gt;=50,"Tinggi","Sedang/Rendah"))))</f>
        <v>▶ Dominan</v>
      </c>
    </row>
    <row r="6" spans="1:5" ht="18" customHeight="1" x14ac:dyDescent="0.25">
      <c r="A6" s="21" t="s">
        <v>128</v>
      </c>
      <c r="B6" s="22">
        <f>SUM(B3:B5)</f>
        <v>100</v>
      </c>
      <c r="C6" s="22">
        <f>SUM(C3:C5)</f>
        <v>100</v>
      </c>
      <c r="D6" s="22">
        <f>SUM(D3:D5)</f>
        <v>100</v>
      </c>
      <c r="E6" s="21" t="s">
        <v>129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E1"/>
    </sheetView>
  </sheetViews>
  <sheetFormatPr defaultRowHeight="15" x14ac:dyDescent="0.25"/>
  <cols>
    <col min="1" max="1" width="35" customWidth="1"/>
    <col min="2" max="3" width="12" customWidth="1"/>
    <col min="4" max="4" width="14" customWidth="1"/>
    <col min="5" max="5" width="20" customWidth="1"/>
  </cols>
  <sheetData>
    <row r="1" spans="1:5" ht="21.95" customHeight="1" x14ac:dyDescent="0.25">
      <c r="A1" s="26" t="s">
        <v>147</v>
      </c>
      <c r="B1" s="27"/>
      <c r="C1" s="27"/>
      <c r="D1" s="27"/>
      <c r="E1" s="27"/>
    </row>
    <row r="2" spans="1:5" ht="30" customHeight="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43</v>
      </c>
    </row>
    <row r="3" spans="1:5" ht="18" customHeight="1" x14ac:dyDescent="0.25">
      <c r="A3" s="8" t="s">
        <v>148</v>
      </c>
      <c r="B3" s="3">
        <v>0</v>
      </c>
      <c r="C3" s="3">
        <v>0</v>
      </c>
      <c r="D3" s="3">
        <f>(B3+C3)/2</f>
        <v>0</v>
      </c>
      <c r="E3" s="8" t="str">
        <f>IF(D3=0,"Tidak Dipilih",IF(D3=MAX(D3:D5),"▶ Dominan",IF(D3&gt;=75,"Sangat Tinggi",IF(D3&gt;=50,"Tinggi","Sedang/Rendah"))))</f>
        <v>Tidak Dipilih</v>
      </c>
    </row>
    <row r="4" spans="1:5" ht="18" customHeight="1" x14ac:dyDescent="0.25">
      <c r="A4" s="10" t="s">
        <v>149</v>
      </c>
      <c r="B4" s="6">
        <v>100</v>
      </c>
      <c r="C4" s="6">
        <v>100</v>
      </c>
      <c r="D4" s="6">
        <f>(B4+C4)/2</f>
        <v>100</v>
      </c>
      <c r="E4" s="10" t="str">
        <f>IF(D4=0,"Tidak Dipilih",IF(D4=MAX(D3:D5),"▶ Dominan",IF(D4&gt;=75,"Sangat Tinggi",IF(D4&gt;=50,"Tinggi","Sedang/Rendah"))))</f>
        <v>▶ Dominan</v>
      </c>
    </row>
    <row r="5" spans="1:5" ht="18" customHeight="1" x14ac:dyDescent="0.25">
      <c r="A5" s="8" t="s">
        <v>150</v>
      </c>
      <c r="B5" s="3">
        <v>0</v>
      </c>
      <c r="C5" s="3">
        <v>0</v>
      </c>
      <c r="D5" s="3">
        <f>(B5+C5)/2</f>
        <v>0</v>
      </c>
      <c r="E5" s="8" t="str">
        <f>IF(D5=0,"Tidak Dipilih",IF(D5=MAX(D3:D5),"▶ Dominan",IF(D5&gt;=75,"Sangat Tinggi",IF(D5&gt;=50,"Tinggi","Sedang/Rendah"))))</f>
        <v>Tidak Dipilih</v>
      </c>
    </row>
    <row r="6" spans="1:5" ht="18" customHeight="1" x14ac:dyDescent="0.25">
      <c r="A6" s="21" t="s">
        <v>128</v>
      </c>
      <c r="B6" s="22">
        <f>SUM(B3:B5)</f>
        <v>100</v>
      </c>
      <c r="C6" s="22">
        <f>SUM(C3:C5)</f>
        <v>100</v>
      </c>
      <c r="D6" s="22">
        <f>SUM(D3:D5)</f>
        <v>100</v>
      </c>
      <c r="E6" s="21" t="s">
        <v>129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topLeftCell="A4" workbookViewId="0">
      <selection activeCell="D18" sqref="D18"/>
    </sheetView>
  </sheetViews>
  <sheetFormatPr defaultRowHeight="15" x14ac:dyDescent="0.25"/>
  <cols>
    <col min="1" max="1" width="8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4" customHeight="1" x14ac:dyDescent="0.25">
      <c r="A1" s="26" t="s">
        <v>151</v>
      </c>
      <c r="B1" s="27"/>
      <c r="C1" s="27"/>
      <c r="D1" s="27"/>
      <c r="E1" s="27"/>
    </row>
    <row r="2" spans="1:5" ht="30" customHeight="1" x14ac:dyDescent="0.25">
      <c r="A2" s="1" t="s">
        <v>152</v>
      </c>
      <c r="B2" s="1" t="s">
        <v>153</v>
      </c>
      <c r="C2" s="1" t="s">
        <v>154</v>
      </c>
      <c r="D2" s="1" t="s">
        <v>155</v>
      </c>
      <c r="E2" s="1" t="s">
        <v>156</v>
      </c>
    </row>
    <row r="3" spans="1:5" ht="20.100000000000001" customHeight="1" x14ac:dyDescent="0.25">
      <c r="A3" s="2" t="s">
        <v>157</v>
      </c>
      <c r="B3" s="8" t="s">
        <v>158</v>
      </c>
      <c r="C3" s="2" t="s">
        <v>159</v>
      </c>
      <c r="D3" s="2" t="s">
        <v>160</v>
      </c>
      <c r="E3" s="2" t="s">
        <v>17</v>
      </c>
    </row>
    <row r="4" spans="1:5" ht="20.100000000000001" customHeight="1" x14ac:dyDescent="0.25">
      <c r="A4" s="5" t="s">
        <v>161</v>
      </c>
      <c r="B4" s="10" t="s">
        <v>162</v>
      </c>
      <c r="C4" s="5" t="s">
        <v>163</v>
      </c>
      <c r="D4" s="5" t="s">
        <v>164</v>
      </c>
      <c r="E4" s="5" t="s">
        <v>165</v>
      </c>
    </row>
    <row r="5" spans="1:5" ht="20.100000000000001" customHeight="1" x14ac:dyDescent="0.25">
      <c r="A5" s="2" t="s">
        <v>166</v>
      </c>
      <c r="B5" s="8" t="s">
        <v>167</v>
      </c>
      <c r="C5" s="2" t="s">
        <v>168</v>
      </c>
      <c r="D5" s="2" t="s">
        <v>169</v>
      </c>
      <c r="E5" s="2" t="s">
        <v>17</v>
      </c>
    </row>
    <row r="6" spans="1:5" ht="20.100000000000001" customHeight="1" x14ac:dyDescent="0.25">
      <c r="A6" s="5" t="s">
        <v>170</v>
      </c>
      <c r="B6" s="10" t="s">
        <v>171</v>
      </c>
      <c r="C6" s="5" t="s">
        <v>172</v>
      </c>
      <c r="D6" s="5" t="s">
        <v>173</v>
      </c>
      <c r="E6" s="5" t="s">
        <v>174</v>
      </c>
    </row>
    <row r="7" spans="1:5" ht="20.100000000000001" customHeight="1" x14ac:dyDescent="0.25">
      <c r="A7" s="2" t="s">
        <v>175</v>
      </c>
      <c r="B7" s="8" t="s">
        <v>176</v>
      </c>
      <c r="C7" s="2" t="s">
        <v>126</v>
      </c>
      <c r="D7" s="2" t="s">
        <v>177</v>
      </c>
      <c r="E7" s="2" t="s">
        <v>178</v>
      </c>
    </row>
    <row r="8" spans="1:5" ht="20.100000000000001" customHeight="1" x14ac:dyDescent="0.25">
      <c r="A8" s="5" t="s">
        <v>179</v>
      </c>
      <c r="B8" s="10" t="s">
        <v>180</v>
      </c>
      <c r="C8" s="5" t="s">
        <v>131</v>
      </c>
      <c r="D8" s="5" t="s">
        <v>181</v>
      </c>
      <c r="E8" s="5" t="s">
        <v>178</v>
      </c>
    </row>
    <row r="9" spans="1:5" ht="20.100000000000001" customHeight="1" x14ac:dyDescent="0.25">
      <c r="A9" s="2" t="s">
        <v>182</v>
      </c>
      <c r="B9" s="8" t="s">
        <v>183</v>
      </c>
      <c r="C9" s="2" t="s">
        <v>184</v>
      </c>
      <c r="D9" s="2" t="s">
        <v>160</v>
      </c>
      <c r="E9" s="2" t="s">
        <v>17</v>
      </c>
    </row>
    <row r="10" spans="1:5" ht="20.100000000000001" customHeight="1" x14ac:dyDescent="0.25">
      <c r="A10" s="5" t="s">
        <v>185</v>
      </c>
      <c r="B10" s="10" t="s">
        <v>186</v>
      </c>
      <c r="C10" s="5" t="s">
        <v>187</v>
      </c>
      <c r="D10" s="5" t="s">
        <v>188</v>
      </c>
      <c r="E10" s="5" t="s">
        <v>178</v>
      </c>
    </row>
    <row r="11" spans="1:5" ht="20.100000000000001" customHeight="1" x14ac:dyDescent="0.25">
      <c r="A11" s="2" t="s">
        <v>189</v>
      </c>
      <c r="B11" s="8" t="s">
        <v>190</v>
      </c>
      <c r="C11" s="2" t="s">
        <v>191</v>
      </c>
      <c r="D11" s="2" t="s">
        <v>192</v>
      </c>
      <c r="E11" s="2" t="s">
        <v>193</v>
      </c>
    </row>
    <row r="12" spans="1:5" ht="20.100000000000001" customHeight="1" x14ac:dyDescent="0.25">
      <c r="A12" s="5" t="s">
        <v>194</v>
      </c>
      <c r="B12" s="10" t="s">
        <v>195</v>
      </c>
      <c r="C12" s="5" t="s">
        <v>196</v>
      </c>
      <c r="D12" s="5" t="s">
        <v>181</v>
      </c>
      <c r="E12" s="5" t="s">
        <v>178</v>
      </c>
    </row>
  </sheetData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ee7a3d-15b4-435c-a9aa-736c488a73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D579C8814A374DB56A88F813D227FD" ma:contentTypeVersion="6" ma:contentTypeDescription="Create a new document." ma:contentTypeScope="" ma:versionID="ee199cf4e3e86c1c43c9b9c33bf10549">
  <xsd:schema xmlns:xsd="http://www.w3.org/2001/XMLSchema" xmlns:xs="http://www.w3.org/2001/XMLSchema" xmlns:p="http://schemas.microsoft.com/office/2006/metadata/properties" xmlns:ns3="73ee7a3d-15b4-435c-a9aa-736c488a73ae" targetNamespace="http://schemas.microsoft.com/office/2006/metadata/properties" ma:root="true" ma:fieldsID="dd820d69823117b7befedcf2e907c61f" ns3:_="">
    <xsd:import namespace="73ee7a3d-15b4-435c-a9aa-736c488a73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e7a3d-15b4-435c-a9aa-736c488a7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D51748-8126-43BB-AA27-CAD07702BB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2A6A83-F5DE-40D0-96CA-A4A2E6F01C3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73ee7a3d-15b4-435c-a9aa-736c488a73a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E5521F-0911-4ECB-A95D-7EC5D33519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e7a3d-15b4-435c-a9aa-736c488a7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TFN_REF</vt:lpstr>
      <vt:lpstr>DF1</vt:lpstr>
      <vt:lpstr>DF2</vt:lpstr>
      <vt:lpstr>DF3</vt:lpstr>
      <vt:lpstr>DF4</vt:lpstr>
      <vt:lpstr>DF5</vt:lpstr>
      <vt:lpstr>DF6</vt:lpstr>
      <vt:lpstr>DF7</vt:lpstr>
      <vt:lpstr>DF8</vt:lpstr>
      <vt:lpstr>DF9</vt:lpstr>
      <vt:lpstr>DF10</vt:lpstr>
      <vt:lpstr>REKAP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Pontoh, Rezza</cp:lastModifiedBy>
  <cp:revision/>
  <dcterms:created xsi:type="dcterms:W3CDTF">2026-03-11T06:41:13Z</dcterms:created>
  <dcterms:modified xsi:type="dcterms:W3CDTF">2026-04-21T14:36:42Z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0x010100E8D579C8814A374DB56A88F813D227FD</vt:lpwstr>
  </property>
</Properties>
</file>